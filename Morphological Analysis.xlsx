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_stats" sheetId="1" r:id="rId5"/>
    <sheet state="visible" name="Morph_category_stats" sheetId="2" r:id="rId6"/>
    <sheet state="visible" name="Pattern_freq" sheetId="3" r:id="rId7"/>
    <sheet state="visible" name="Error_Analysis" sheetId="4" r:id="rId8"/>
    <sheet state="visible" name="Slengo_comparison" sheetId="5" r:id="rId9"/>
    <sheet state="visible" name="Kaitlins Brain Butter" sheetId="6" r:id="rId10"/>
  </sheets>
  <definedNames>
    <definedName hidden="1" localSheetId="5" name="_xlnm._FilterDatabase">'Kaitlins Brain Butter'!$A$1:$C$108</definedName>
  </definedNames>
  <calcPr/>
</workbook>
</file>

<file path=xl/sharedStrings.xml><?xml version="1.0" encoding="utf-8"?>
<sst xmlns="http://schemas.openxmlformats.org/spreadsheetml/2006/main" count="736" uniqueCount="284">
  <si>
    <t>Human-Coined Word</t>
  </si>
  <si>
    <t>MORPH - Human-Coined</t>
  </si>
  <si>
    <t>Mean</t>
  </si>
  <si>
    <t>Gemma 4 e4b</t>
  </si>
  <si>
    <t>MORPH - Gemma 4 e4b</t>
  </si>
  <si>
    <t>Gemini 2.5 Flash - "Local"</t>
  </si>
  <si>
    <t>MORPH - Gemini 2.5 Flash - "Local"</t>
  </si>
  <si>
    <t>Igna</t>
  </si>
  <si>
    <t>clipping</t>
  </si>
  <si>
    <t>Pigronaccio</t>
  </si>
  <si>
    <t>alterative_suffix</t>
  </si>
  <si>
    <t>Irrisoluto</t>
  </si>
  <si>
    <t>adjectival_participle</t>
  </si>
  <si>
    <t>Legend</t>
  </si>
  <si>
    <t>Orzone</t>
  </si>
  <si>
    <t>Brutacciella</t>
  </si>
  <si>
    <t>Squallidone</t>
  </si>
  <si>
    <t>Green</t>
  </si>
  <si>
    <t>Morphological patterns with only one word</t>
  </si>
  <si>
    <t>Bruscazzo</t>
  </si>
  <si>
    <t>Miserianello</t>
  </si>
  <si>
    <t>Bazzicone</t>
  </si>
  <si>
    <t>Yellow</t>
  </si>
  <si>
    <t>Morphological error</t>
  </si>
  <si>
    <t>Rintrollo</t>
  </si>
  <si>
    <t>Stoltonaccio</t>
  </si>
  <si>
    <t>Rollone</t>
  </si>
  <si>
    <t>Red</t>
  </si>
  <si>
    <t>Existing word</t>
  </si>
  <si>
    <t>Mazzuccia</t>
  </si>
  <si>
    <t>Papacchiotto</t>
  </si>
  <si>
    <t>Fumolo</t>
  </si>
  <si>
    <t>Debazzo</t>
  </si>
  <si>
    <t>Canoncino</t>
  </si>
  <si>
    <t>Amicidiafissa</t>
  </si>
  <si>
    <t>compound</t>
  </si>
  <si>
    <t>Girello</t>
  </si>
  <si>
    <t>Geloaccio</t>
  </si>
  <si>
    <t>Canesciocco</t>
  </si>
  <si>
    <t>Mediollo</t>
  </si>
  <si>
    <t>Denaroletto</t>
  </si>
  <si>
    <t>Florilegio</t>
  </si>
  <si>
    <t>Giganterrimo</t>
  </si>
  <si>
    <t>Fantasciotto</t>
  </si>
  <si>
    <t>Cosmosità</t>
  </si>
  <si>
    <t>deadjectival_suffix</t>
  </si>
  <si>
    <t>Chiappetti</t>
  </si>
  <si>
    <t>Rescontoletto</t>
  </si>
  <si>
    <t>Ghiacciano</t>
  </si>
  <si>
    <t>denominal_adj_suffix</t>
  </si>
  <si>
    <t>Lettoclettico</t>
  </si>
  <si>
    <t>Pauroncino</t>
  </si>
  <si>
    <t>Mendaceo</t>
  </si>
  <si>
    <t>Source</t>
  </si>
  <si>
    <t>St. Dev.</t>
  </si>
  <si>
    <t>Fiscolla</t>
  </si>
  <si>
    <t>Fittizioletto</t>
  </si>
  <si>
    <t>Sgorbuto</t>
  </si>
  <si>
    <t>Random</t>
  </si>
  <si>
    <t>Blaublau</t>
  </si>
  <si>
    <t>Gigantescazzone</t>
  </si>
  <si>
    <t>Volontoso</t>
  </si>
  <si>
    <t>Human</t>
  </si>
  <si>
    <t>Lordabraghe</t>
  </si>
  <si>
    <t>Divagatoreccio</t>
  </si>
  <si>
    <t>Tremaroso</t>
  </si>
  <si>
    <t>Gemma</t>
  </si>
  <si>
    <t>Menzata</t>
  </si>
  <si>
    <t>Bocconcinaccio</t>
  </si>
  <si>
    <t>Denaroia</t>
  </si>
  <si>
    <t>denominal_suffix</t>
  </si>
  <si>
    <t>Gemini</t>
  </si>
  <si>
    <t>Parlanulla</t>
  </si>
  <si>
    <t>Scadenzuolo</t>
  </si>
  <si>
    <t>Magnificata</t>
  </si>
  <si>
    <t>Diecidieci</t>
  </si>
  <si>
    <t>Sforzoletto</t>
  </si>
  <si>
    <t>Ideario</t>
  </si>
  <si>
    <t>Cicciobello</t>
  </si>
  <si>
    <t>Nomecloreccio</t>
  </si>
  <si>
    <t>Rappassionato</t>
  </si>
  <si>
    <t>Rappippo</t>
  </si>
  <si>
    <t>Rapperuccio</t>
  </si>
  <si>
    <t>Inertebrante</t>
  </si>
  <si>
    <t xml:space="preserve">deverbal_suffix </t>
  </si>
  <si>
    <t>Vecchiale</t>
  </si>
  <si>
    <t>Passatemiottico</t>
  </si>
  <si>
    <t>Ciacolatore</t>
  </si>
  <si>
    <t>Dissoldo</t>
  </si>
  <si>
    <t>denominal_prefix</t>
  </si>
  <si>
    <t>Nullapersonaccio</t>
  </si>
  <si>
    <t>Trussardo</t>
  </si>
  <si>
    <t>german_suffix</t>
  </si>
  <si>
    <t>Asolco</t>
  </si>
  <si>
    <t>Brutoneccio</t>
  </si>
  <si>
    <t>Bufoneide</t>
  </si>
  <si>
    <t>greek_suffix</t>
  </si>
  <si>
    <t>Spacconata</t>
  </si>
  <si>
    <t>Rolloneccio</t>
  </si>
  <si>
    <t>Brulot</t>
  </si>
  <si>
    <t>miscellaneous</t>
  </si>
  <si>
    <t>Scarsata</t>
  </si>
  <si>
    <t>Eccellenzaio</t>
  </si>
  <si>
    <t>Sgatto</t>
  </si>
  <si>
    <t>Pandarro</t>
  </si>
  <si>
    <t>Indecisionario</t>
  </si>
  <si>
    <t>Sgregio</t>
  </si>
  <si>
    <t>Surgelo</t>
  </si>
  <si>
    <t>Determinatore</t>
  </si>
  <si>
    <t>deverbal_suffix</t>
  </si>
  <si>
    <t>Onimasto</t>
  </si>
  <si>
    <t>Fiorana</t>
  </si>
  <si>
    <t>Aggrappatrice</t>
  </si>
  <si>
    <t>Svenevole</t>
  </si>
  <si>
    <t>verbal_adj</t>
  </si>
  <si>
    <t>Morphological Pattern</t>
  </si>
  <si>
    <t>Mean Plausibility</t>
  </si>
  <si>
    <t>Std Dev</t>
  </si>
  <si>
    <t>N</t>
  </si>
  <si>
    <t>Note</t>
  </si>
  <si>
    <t>Analysis of the morphology of the generated words</t>
  </si>
  <si>
    <t>abbreviation</t>
  </si>
  <si>
    <t>N=1, no variance</t>
  </si>
  <si>
    <t>SD</t>
  </si>
  <si>
    <t>Alterative suffix</t>
  </si>
  <si>
    <t>Compound</t>
  </si>
  <si>
    <t>denominal adj_suffix</t>
  </si>
  <si>
    <t>Denominal suffix</t>
  </si>
  <si>
    <t>Deverbal Suffix</t>
  </si>
  <si>
    <t>Miscellaneous</t>
  </si>
  <si>
    <t>Count</t>
  </si>
  <si>
    <t>Total Words</t>
  </si>
  <si>
    <t>% of Source</t>
  </si>
  <si>
    <t>Red = Existing word (spurious) --- Yellow = Morphological error</t>
  </si>
  <si>
    <t>Word</t>
  </si>
  <si>
    <t>Error Type</t>
  </si>
  <si>
    <t>Slengo: Macro-category Distribution (N nouns = 620)</t>
  </si>
  <si>
    <t>Macro-category</t>
  </si>
  <si>
    <t>N (nouns)</t>
  </si>
  <si>
    <t>% of Full Dataset</t>
  </si>
  <si>
    <t>Notes</t>
  </si>
  <si>
    <t>Reuses</t>
  </si>
  <si>
    <t>10.5%</t>
  </si>
  <si>
    <t>Most frequent; semantic repurposing of existing words</t>
  </si>
  <si>
    <t>Unclassified / mixed strategies</t>
  </si>
  <si>
    <t>Compounds</t>
  </si>
  <si>
    <t>9.4%</t>
  </si>
  <si>
    <t>High productivity; N+N, V+N, etc.</t>
  </si>
  <si>
    <t>Denominal nouns</t>
  </si>
  <si>
    <t>4.6%</t>
  </si>
  <si>
    <t>Key suffixes: -ATA (35.6%), -ISTA (19.0%), -ARO (15.3%)</t>
  </si>
  <si>
    <t>Alterative nouns</t>
  </si>
  <si>
    <t>4.2%</t>
  </si>
  <si>
    <t>Key suffixes: -ONE (43.4%), -INO (20.8%), -ETTO (11.3%), -ACCIO (3.8%)</t>
  </si>
  <si>
    <t>Abbreviations</t>
  </si>
  <si>
    <t>3.4%</t>
  </si>
  <si>
    <t>Clipping, acronyms, initialisms</t>
  </si>
  <si>
    <t>Deverbal nouns</t>
  </si>
  <si>
    <t>2.6%</t>
  </si>
  <si>
    <t>Key suffixes: -ATA (30.3%), -ZIONE (15.2%), -MENTO (12.1%)</t>
  </si>
  <si>
    <t>Misspellings</t>
  </si>
  <si>
    <t>2.2%</t>
  </si>
  <si>
    <t>Intentional orthographic alteration</t>
  </si>
  <si>
    <t>Deadjectival nouns</t>
  </si>
  <si>
    <t>1.4%</t>
  </si>
  <si>
    <t>Key suffixes: -ISMO (44.4%), -TÀ (38.9%), -EZZA (16.7%)</t>
  </si>
  <si>
    <t>Slengo: Suffix-level Detail by Sub-category</t>
  </si>
  <si>
    <t>Sub-category</t>
  </si>
  <si>
    <t>Suffix</t>
  </si>
  <si>
    <t>% of Sub-category</t>
  </si>
  <si>
    <t>Deverbal nouns (N=33)</t>
  </si>
  <si>
    <t>-ATA</t>
  </si>
  <si>
    <t>30.3%</t>
  </si>
  <si>
    <t>-ZIONE</t>
  </si>
  <si>
    <t>15.2%</t>
  </si>
  <si>
    <t>-MENTO</t>
  </si>
  <si>
    <t>12.1%</t>
  </si>
  <si>
    <t>-ANZA</t>
  </si>
  <si>
    <t>Others</t>
  </si>
  <si>
    <t>Denominal nouns (N=59)</t>
  </si>
  <si>
    <t>35.6%</t>
  </si>
  <si>
    <t>-ISTA</t>
  </si>
  <si>
    <t>32.2%</t>
  </si>
  <si>
    <t>-ARO</t>
  </si>
  <si>
    <t>15.3%</t>
  </si>
  <si>
    <t>16.9%</t>
  </si>
  <si>
    <t>Deadjectival (N=18)</t>
  </si>
  <si>
    <t>-ISMO</t>
  </si>
  <si>
    <t>44.4%</t>
  </si>
  <si>
    <t>-TÀ</t>
  </si>
  <si>
    <t>38.9%</t>
  </si>
  <si>
    <t>-EZZA</t>
  </si>
  <si>
    <t>16.7%</t>
  </si>
  <si>
    <t>Alterative (N=53)</t>
  </si>
  <si>
    <t>-ONE</t>
  </si>
  <si>
    <t>43.4%</t>
  </si>
  <si>
    <t>-INO</t>
  </si>
  <si>
    <t>20.8%</t>
  </si>
  <si>
    <t>-ETTO</t>
  </si>
  <si>
    <t>11.3%</t>
  </si>
  <si>
    <t>-ACCIO</t>
  </si>
  <si>
    <t>3.8%</t>
  </si>
  <si>
    <t>20.7%</t>
  </si>
  <si>
    <t>Slengo Suffixes: Presence Across Generations</t>
  </si>
  <si>
    <t>Slengo Sub-cat</t>
  </si>
  <si>
    <t>Slengo %</t>
  </si>
  <si>
    <t>Deverbal / Denominal</t>
  </si>
  <si>
    <t>30–36%</t>
  </si>
  <si>
    <t>Partial</t>
  </si>
  <si>
    <t>Absent</t>
  </si>
  <si>
    <t>Denominal</t>
  </si>
  <si>
    <t>Alterative</t>
  </si>
  <si>
    <t>Present</t>
  </si>
  <si>
    <t>Deadjectival</t>
  </si>
  <si>
    <t>Present*</t>
  </si>
  <si>
    <t>Deverbal</t>
  </si>
  <si>
    <t>Overall Generations Summary and Alignment with Slengo</t>
  </si>
  <si>
    <t>Mean Plausibility (all)</t>
  </si>
  <si>
    <t>StDev (all)</t>
  </si>
  <si>
    <t>N Patterns</t>
  </si>
  <si>
    <t>Dominant Pattern</t>
  </si>
  <si>
    <t>Slengo Alignment</t>
  </si>
  <si>
    <t>Key Observation</t>
  </si>
  <si>
    <t>alterative + compound (33% each)</t>
  </si>
  <si>
    <t>Moderate</t>
  </si>
  <si>
    <t>Most balanced; compound use mirrors Slengo; key suffixes partially present</t>
  </si>
  <si>
    <t>alterative_suffix (70.4%)</t>
  </si>
  <si>
    <t>Low</t>
  </si>
  <si>
    <t>Severe overuse of alteratives; low variety; deverbal best pattern</t>
  </si>
  <si>
    <t>denominal_adj_suffix (20%)</t>
  </si>
  <si>
    <t>Most varied; highest mean; but 10/27 flagged errors or spurious</t>
  </si>
  <si>
    <t>Notes for Discussion</t>
  </si>
  <si>
    <t>1. Absent high-productivity suffixes</t>
  </si>
  <si>
    <t xml:space="preserve">-ATA, -ISTA, -ARO are the top denominal/deverbal suffixes in Slengo but absent in all LLM outputs. LLMs do not appear to favour statistically dominant patterns </t>
  </si>
  <si>
    <t>2. Alterative overuse (Gemma)</t>
  </si>
  <si>
    <t>Gemma's 70.4% alterative rate vs. Slengo's 8.5% suggests a strong tendence toward "judgemental" morphology as a default creativity heuristic.</t>
  </si>
  <si>
    <t>3. -ACCIO overuse vs. Slengo</t>
  </si>
  <si>
    <t>-ACCIO is only 3.8% in Slengo alteratives, yet frequent in generations. Likely task-driven: the reverse dictionary prompts probably elicited pejorative/humorous targets, biasing toward pejorative suffixes.</t>
  </si>
  <si>
    <t>4. Spurious words &amp; plausibility paradox (Gemini)</t>
  </si>
  <si>
    <t>Two Gemini spurious words (Irrisoluto, Florilegio) received high plausibility scores (3.94, 3.06). These words belong to the tail of the Zipfian distribution: were they perceived as novel words even though they're not?</t>
  </si>
  <si>
    <t>5. Morphological errors and plausibility</t>
  </si>
  <si>
    <t>Several Gemini morphological errors (yellow) still received mid-to-high ratings (e.g., Mendaceo 4.06, Tremaroso 3.44), indicating that human raters may accept phonologically plausible but morphologically incorrect forms.</t>
  </si>
  <si>
    <t>6. Human generation as baseline</t>
  </si>
  <si>
    <t>Human-generated neologisms show the closest alignment with Slengo macro-categories (compound + alterative ≈ 66%) and zero errors.</t>
  </si>
  <si>
    <t>Mean and SD of word rating categorized by Morphological Formation</t>
  </si>
  <si>
    <t>Verbal Adjective</t>
  </si>
  <si>
    <t>foreign_suffix</t>
  </si>
  <si>
    <t>deadjectival suffix</t>
  </si>
  <si>
    <t>adjectival participle</t>
  </si>
  <si>
    <t>Rating</t>
  </si>
  <si>
    <t>1,5-2</t>
  </si>
  <si>
    <t>2-2,5</t>
  </si>
  <si>
    <t>2,5-3</t>
  </si>
  <si>
    <t>3,01-3,5</t>
  </si>
  <si>
    <t>3,5-4</t>
  </si>
  <si>
    <t>Total</t>
  </si>
  <si>
    <t>(why isn't this 10 jesus)</t>
  </si>
  <si>
    <t>Iurasta</t>
  </si>
  <si>
    <t>Morrione</t>
  </si>
  <si>
    <t>Digato</t>
  </si>
  <si>
    <t>Tesoema</t>
  </si>
  <si>
    <t>Zisota</t>
  </si>
  <si>
    <t>Ussonto</t>
  </si>
  <si>
    <t>Rompiotta</t>
  </si>
  <si>
    <t>Naziulo</t>
  </si>
  <si>
    <t>Niroata</t>
  </si>
  <si>
    <t>Gentuo</t>
  </si>
  <si>
    <t>Itado</t>
  </si>
  <si>
    <t>Atutrito</t>
  </si>
  <si>
    <t>Ticota</t>
  </si>
  <si>
    <t>Tetria</t>
  </si>
  <si>
    <t>Sutesta</t>
  </si>
  <si>
    <t>Cotero</t>
  </si>
  <si>
    <t>Ituto</t>
  </si>
  <si>
    <t>Atinaba</t>
  </si>
  <si>
    <t>Ramala</t>
  </si>
  <si>
    <t>Tetiro</t>
  </si>
  <si>
    <t>Sotia</t>
  </si>
  <si>
    <t>Usnava</t>
  </si>
  <si>
    <t>Tiliano</t>
  </si>
  <si>
    <t>Cosuarso</t>
  </si>
  <si>
    <t>Zuampa</t>
  </si>
  <si>
    <t>Icesto</t>
  </si>
  <si>
    <t>Utevio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</si>
</sst>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.mm"/>
  </numFmts>
  <fonts count="21">
    <font>
      <sz val="10.0"/>
      <color rgb="FF000000"/>
      <name val="Arial"/>
      <scheme val="minor"/>
    </font>
    <font>
      <b/>
      <color rgb="FF741B47"/>
      <name val="Arial"/>
    </font>
    <font>
      <b/>
      <color rgb="FF741B47"/>
      <name val="Arial"/>
      <scheme val="minor"/>
    </font>
    <font>
      <b/>
      <color rgb="FF4C1130"/>
      <name val="Arial"/>
      <scheme val="minor"/>
    </font>
    <font>
      <b/>
      <color rgb="FF980000"/>
      <name val="Arial"/>
    </font>
    <font>
      <b/>
      <color rgb="FF980000"/>
      <name val="Arial"/>
      <scheme val="minor"/>
    </font>
    <font>
      <b/>
      <color rgb="FF351C75"/>
      <name val="Arial"/>
    </font>
    <font>
      <b/>
      <color rgb="FF351C75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i/>
      <color theme="1"/>
      <name val="Arial"/>
      <scheme val="minor"/>
    </font>
    <font>
      <b/>
      <color rgb="FF000000"/>
      <name val="Arial"/>
    </font>
    <font>
      <b/>
      <color theme="1"/>
      <name val="Arial"/>
    </font>
    <font>
      <i/>
      <color theme="1"/>
      <name val="Arial"/>
    </font>
    <font>
      <b/>
      <sz val="11.0"/>
      <color rgb="FFFFFFFF"/>
      <name val="Arial"/>
    </font>
    <font>
      <sz val="11.0"/>
      <color rgb="FF000000"/>
      <name val="Calibri"/>
    </font>
    <font>
      <color rgb="FF000000"/>
      <name val="Arial"/>
    </font>
    <font>
      <i/>
      <color rgb="FF000000"/>
      <name val="Arial"/>
    </font>
    <font>
      <i/>
      <sz val="9.0"/>
      <color rgb="FF000000"/>
      <name val="Arial"/>
    </font>
    <font>
      <color rgb="FF434343"/>
      <name val="Roboto"/>
    </font>
  </fonts>
  <fills count="3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A8D5A2"/>
        <bgColor rgb="FFA8D5A2"/>
      </patternFill>
    </fill>
    <fill>
      <patternFill patternType="solid">
        <fgColor rgb="FFEBF5E9"/>
        <bgColor rgb="FFEBF5E9"/>
      </patternFill>
    </fill>
    <fill>
      <patternFill patternType="solid">
        <fgColor rgb="FFA2C4E0"/>
        <bgColor rgb="FFA2C4E0"/>
      </patternFill>
    </fill>
    <fill>
      <patternFill patternType="solid">
        <fgColor rgb="FFE8F4FD"/>
        <bgColor rgb="FFE8F4FD"/>
      </patternFill>
    </fill>
    <fill>
      <patternFill patternType="solid">
        <fgColor rgb="FFF5C6A0"/>
        <bgColor rgb="FFF5C6A0"/>
      </patternFill>
    </fill>
    <fill>
      <patternFill patternType="solid">
        <fgColor rgb="FFFEF5EC"/>
        <bgColor rgb="FFFEF5EC"/>
      </patternFill>
    </fill>
    <fill>
      <patternFill patternType="solid">
        <fgColor rgb="FFFF9999"/>
        <bgColor rgb="FFFF9999"/>
      </patternFill>
    </fill>
    <fill>
      <patternFill patternType="solid">
        <fgColor rgb="FF274E13"/>
        <bgColor rgb="FF274E13"/>
      </patternFill>
    </fill>
    <fill>
      <patternFill patternType="solid">
        <fgColor rgb="FFEAF4E3"/>
        <bgColor rgb="FFEAF4E3"/>
      </patternFill>
    </fill>
    <fill>
      <patternFill patternType="solid">
        <fgColor rgb="FFD9EAD3"/>
        <bgColor rgb="FFD9EAD3"/>
      </patternFill>
    </fill>
    <fill>
      <patternFill patternType="solid">
        <fgColor rgb="FFEAF2FB"/>
        <bgColor rgb="FFEAF2FB"/>
      </patternFill>
    </fill>
    <fill>
      <patternFill patternType="solid">
        <fgColor rgb="FFD0E4F7"/>
        <bgColor rgb="FFD0E4F7"/>
      </patternFill>
    </fill>
    <fill>
      <patternFill patternType="solid">
        <fgColor rgb="FFFFF9E6"/>
        <bgColor rgb="FFFFF9E6"/>
      </patternFill>
    </fill>
    <fill>
      <patternFill patternType="solid">
        <fgColor rgb="FFF5EEF8"/>
        <bgColor rgb="FFF5EEF8"/>
      </patternFill>
    </fill>
    <fill>
      <patternFill patternType="solid">
        <fgColor rgb="FFEAD5F5"/>
        <bgColor rgb="FFEAD5F5"/>
      </patternFill>
    </fill>
    <fill>
      <patternFill patternType="solid">
        <fgColor rgb="FF4A4A4A"/>
        <bgColor rgb="FF4A4A4A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FE0E0"/>
        <bgColor rgb="FFFFE0E0"/>
      </patternFill>
    </fill>
    <fill>
      <patternFill patternType="solid">
        <fgColor rgb="FFE8E8E8"/>
        <bgColor rgb="FFE8E8E8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BBBBBB"/>
      </left>
      <right style="thin">
        <color rgb="FFBBBBBB"/>
      </right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bottom style="thin">
        <color rgb="FFBBBBBB"/>
      </bottom>
    </border>
    <border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4" xfId="0" applyFont="1" applyNumberFormat="1"/>
    <xf borderId="0" fillId="0" fontId="3" numFmtId="4" xfId="0" applyFont="1" applyNumberFormat="1"/>
    <xf borderId="0" fillId="0" fontId="4" numFmtId="0" xfId="0" applyAlignment="1" applyFont="1">
      <alignment vertical="bottom"/>
    </xf>
    <xf borderId="0" fillId="0" fontId="5" numFmtId="4" xfId="0" applyFont="1" applyNumberFormat="1"/>
    <xf borderId="0" fillId="0" fontId="6" numFmtId="0" xfId="0" applyAlignment="1" applyFont="1">
      <alignment vertical="bottom"/>
    </xf>
    <xf borderId="0" fillId="0" fontId="7" numFmtId="4" xfId="0" applyFont="1" applyNumberFormat="1"/>
    <xf borderId="0" fillId="0" fontId="8" numFmtId="4" xfId="0" applyFont="1" applyNumberFormat="1"/>
    <xf borderId="0" fillId="2" fontId="9" numFmtId="0" xfId="0" applyAlignment="1" applyFill="1" applyFont="1">
      <alignment vertical="bottom"/>
    </xf>
    <xf borderId="0" fillId="2" fontId="9" numFmtId="0" xfId="0" applyAlignment="1" applyFont="1">
      <alignment readingOrder="0" vertical="bottom"/>
    </xf>
    <xf borderId="0" fillId="2" fontId="8" numFmtId="4" xfId="0" applyFont="1" applyNumberFormat="1"/>
    <xf borderId="0" fillId="0" fontId="9" numFmtId="0" xfId="0" applyAlignment="1" applyFont="1">
      <alignment vertical="bottom"/>
    </xf>
    <xf borderId="0" fillId="3" fontId="9" numFmtId="0" xfId="0" applyAlignment="1" applyFill="1" applyFont="1">
      <alignment vertical="bottom"/>
    </xf>
    <xf borderId="1" fillId="0" fontId="10" numFmtId="0" xfId="0" applyAlignment="1" applyBorder="1" applyFont="1">
      <alignment readingOrder="0"/>
    </xf>
    <xf borderId="2" fillId="0" fontId="8" numFmtId="0" xfId="0" applyBorder="1" applyFont="1"/>
    <xf borderId="0" fillId="0" fontId="9" numFmtId="0" xfId="0" applyAlignment="1" applyFont="1">
      <alignment readingOrder="0" vertical="bottom"/>
    </xf>
    <xf borderId="3" fillId="2" fontId="8" numFmtId="0" xfId="0" applyAlignment="1" applyBorder="1" applyFont="1">
      <alignment readingOrder="0"/>
    </xf>
    <xf borderId="4" fillId="2" fontId="11" numFmtId="0" xfId="0" applyAlignment="1" applyBorder="1" applyFont="1">
      <alignment readingOrder="0"/>
    </xf>
    <xf borderId="3" fillId="4" fontId="8" numFmtId="0" xfId="0" applyAlignment="1" applyBorder="1" applyFill="1" applyFont="1">
      <alignment readingOrder="0"/>
    </xf>
    <xf borderId="3" fillId="4" fontId="11" numFmtId="0" xfId="0" applyAlignment="1" applyBorder="1" applyFont="1">
      <alignment readingOrder="0"/>
    </xf>
    <xf borderId="5" fillId="3" fontId="8" numFmtId="0" xfId="0" applyAlignment="1" applyBorder="1" applyFont="1">
      <alignment readingOrder="0"/>
    </xf>
    <xf borderId="5" fillId="3" fontId="11" numFmtId="0" xfId="0" applyAlignment="1" applyBorder="1" applyFont="1">
      <alignment readingOrder="0"/>
    </xf>
    <xf borderId="0" fillId="5" fontId="9" numFmtId="0" xfId="0" applyAlignment="1" applyFill="1" applyFont="1">
      <alignment vertical="bottom"/>
    </xf>
    <xf borderId="0" fillId="6" fontId="9" numFmtId="0" xfId="0" applyAlignment="1" applyFill="1" applyFont="1">
      <alignment vertical="bottom"/>
    </xf>
    <xf borderId="1" fillId="7" fontId="10" numFmtId="0" xfId="0" applyAlignment="1" applyBorder="1" applyFill="1" applyFont="1">
      <alignment horizontal="center"/>
    </xf>
    <xf borderId="1" fillId="7" fontId="10" numFmtId="0" xfId="0" applyAlignment="1" applyBorder="1" applyFont="1">
      <alignment horizontal="center" readingOrder="0"/>
    </xf>
    <xf borderId="3" fillId="7" fontId="8" numFmtId="0" xfId="0" applyBorder="1" applyFont="1"/>
    <xf borderId="3" fillId="7" fontId="8" numFmtId="4" xfId="0" applyBorder="1" applyFont="1" applyNumberFormat="1"/>
    <xf borderId="0" fillId="5" fontId="9" numFmtId="0" xfId="0" applyAlignment="1" applyFont="1">
      <alignment readingOrder="0" vertical="bottom"/>
    </xf>
    <xf borderId="5" fillId="7" fontId="8" numFmtId="0" xfId="0" applyBorder="1" applyFont="1"/>
    <xf borderId="5" fillId="7" fontId="8" numFmtId="4" xfId="0" applyBorder="1" applyFont="1" applyNumberFormat="1"/>
    <xf borderId="0" fillId="0" fontId="8" numFmtId="4" xfId="0" applyAlignment="1" applyFont="1" applyNumberFormat="1">
      <alignment readingOrder="0"/>
    </xf>
    <xf borderId="0" fillId="0" fontId="12" numFmtId="0" xfId="0" applyAlignment="1" applyFont="1">
      <alignment horizontal="center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9" numFmtId="0" xfId="0" applyAlignment="1" applyFont="1">
      <alignment horizontal="left" readingOrder="0" shrinkToFit="0" wrapText="0"/>
    </xf>
    <xf borderId="0" fillId="8" fontId="9" numFmtId="0" xfId="0" applyAlignment="1" applyFont="1">
      <alignment horizontal="center" readingOrder="0" shrinkToFit="0" wrapText="0"/>
    </xf>
    <xf borderId="0" fillId="8" fontId="9" numFmtId="0" xfId="0" applyAlignment="1" applyFont="1">
      <alignment horizontal="left" shrinkToFit="0" wrapText="0"/>
    </xf>
    <xf borderId="0" fillId="0" fontId="11" numFmtId="0" xfId="0" applyAlignment="1" applyFont="1">
      <alignment readingOrder="0"/>
    </xf>
    <xf borderId="0" fillId="9" fontId="9" numFmtId="0" xfId="0" applyAlignment="1" applyFill="1" applyFont="1">
      <alignment horizontal="left" readingOrder="0" shrinkToFit="0" wrapText="0"/>
    </xf>
    <xf borderId="0" fillId="9" fontId="9" numFmtId="0" xfId="0" applyAlignment="1" applyFont="1">
      <alignment horizontal="center" readingOrder="0" shrinkToFit="0" wrapText="0"/>
    </xf>
    <xf borderId="0" fillId="9" fontId="9" numFmtId="0" xfId="0" applyAlignment="1" applyFont="1">
      <alignment horizontal="left" shrinkToFit="0" wrapText="0"/>
    </xf>
    <xf borderId="0" fillId="9" fontId="9" numFmtId="0" xfId="0" applyAlignment="1" applyFont="1">
      <alignment horizontal="center" shrinkToFit="0" wrapText="0"/>
    </xf>
    <xf borderId="0" fillId="10" fontId="13" numFmtId="0" xfId="0" applyAlignment="1" applyFill="1" applyFont="1">
      <alignment horizontal="left" readingOrder="0" shrinkToFit="0" wrapText="0"/>
    </xf>
    <xf borderId="0" fillId="10" fontId="9" numFmtId="0" xfId="0" applyAlignment="1" applyFont="1">
      <alignment horizontal="left" readingOrder="0" shrinkToFit="0" wrapText="0"/>
    </xf>
    <xf borderId="0" fillId="10" fontId="9" numFmtId="0" xfId="0" applyAlignment="1" applyFont="1">
      <alignment horizontal="center" readingOrder="0" shrinkToFit="0" wrapText="0"/>
    </xf>
    <xf borderId="0" fillId="10" fontId="9" numFmtId="0" xfId="0" applyAlignment="1" applyFont="1">
      <alignment horizontal="left" shrinkToFit="0" wrapText="0"/>
    </xf>
    <xf borderId="0" fillId="11" fontId="9" numFmtId="0" xfId="0" applyAlignment="1" applyFill="1" applyFont="1">
      <alignment horizontal="left" readingOrder="0" shrinkToFit="0" wrapText="0"/>
    </xf>
    <xf borderId="0" fillId="11" fontId="9" numFmtId="0" xfId="0" applyAlignment="1" applyFont="1">
      <alignment horizontal="center" readingOrder="0" shrinkToFit="0" wrapText="0"/>
    </xf>
    <xf borderId="0" fillId="11" fontId="9" numFmtId="0" xfId="0" applyAlignment="1" applyFont="1">
      <alignment horizontal="left" shrinkToFit="0" wrapText="0"/>
    </xf>
    <xf borderId="1" fillId="0" fontId="8" numFmtId="0" xfId="0" applyBorder="1" applyFont="1"/>
    <xf borderId="6" fillId="0" fontId="8" numFmtId="0" xfId="0" applyBorder="1" applyFont="1"/>
    <xf borderId="1" fillId="0" fontId="8" numFmtId="0" xfId="0" applyBorder="1" applyFont="1"/>
    <xf borderId="3" fillId="0" fontId="8" numFmtId="0" xfId="0" applyAlignment="1" applyBorder="1" applyFont="1">
      <alignment readingOrder="0"/>
    </xf>
    <xf borderId="3" fillId="0" fontId="8" numFmtId="0" xfId="0" applyBorder="1" applyFont="1"/>
    <xf borderId="0" fillId="12" fontId="13" numFmtId="0" xfId="0" applyAlignment="1" applyFill="1" applyFont="1">
      <alignment horizontal="left" readingOrder="0" shrinkToFit="0" wrapText="0"/>
    </xf>
    <xf borderId="0" fillId="12" fontId="9" numFmtId="0" xfId="0" applyAlignment="1" applyFont="1">
      <alignment horizontal="left" readingOrder="0" shrinkToFit="0" wrapText="0"/>
    </xf>
    <xf borderId="0" fillId="12" fontId="9" numFmtId="0" xfId="0" applyAlignment="1" applyFont="1">
      <alignment horizontal="center" readingOrder="0" shrinkToFit="0" wrapText="0"/>
    </xf>
    <xf borderId="0" fillId="12" fontId="9" numFmtId="0" xfId="0" applyAlignment="1" applyFont="1">
      <alignment horizontal="center" shrinkToFit="0" wrapText="0"/>
    </xf>
    <xf borderId="0" fillId="13" fontId="9" numFmtId="0" xfId="0" applyAlignment="1" applyFill="1" applyFont="1">
      <alignment horizontal="left" readingOrder="0" shrinkToFit="0" wrapText="0"/>
    </xf>
    <xf borderId="0" fillId="13" fontId="9" numFmtId="0" xfId="0" applyAlignment="1" applyFont="1">
      <alignment horizontal="center" readingOrder="0" shrinkToFit="0" wrapText="0"/>
    </xf>
    <xf borderId="0" fillId="13" fontId="9" numFmtId="0" xfId="0" applyAlignment="1" applyFont="1">
      <alignment horizontal="left" shrinkToFit="0" wrapText="0"/>
    </xf>
    <xf borderId="0" fillId="13" fontId="9" numFmtId="0" xfId="0" applyAlignment="1" applyFont="1">
      <alignment horizontal="center" shrinkToFit="0" wrapText="0"/>
    </xf>
    <xf borderId="5" fillId="0" fontId="8" numFmtId="0" xfId="0" applyAlignment="1" applyBorder="1" applyFont="1">
      <alignment readingOrder="0"/>
    </xf>
    <xf borderId="7" fillId="0" fontId="8" numFmtId="4" xfId="0" applyBorder="1" applyFont="1" applyNumberFormat="1"/>
    <xf borderId="5" fillId="0" fontId="8" numFmtId="0" xfId="0" applyBorder="1" applyFont="1"/>
    <xf borderId="0" fillId="5" fontId="9" numFmtId="0" xfId="0" applyAlignment="1" applyFont="1">
      <alignment horizontal="left" readingOrder="0" shrinkToFit="0" wrapText="0"/>
    </xf>
    <xf borderId="0" fillId="5" fontId="9" numFmtId="0" xfId="0" applyAlignment="1" applyFont="1">
      <alignment horizontal="center" readingOrder="0" shrinkToFit="0" wrapText="0"/>
    </xf>
    <xf borderId="0" fillId="5" fontId="9" numFmtId="0" xfId="0" applyAlignment="1" applyFont="1">
      <alignment horizontal="left" shrinkToFit="0" wrapText="0"/>
    </xf>
    <xf borderId="0" fillId="5" fontId="8" numFmtId="0" xfId="0" applyFont="1"/>
    <xf borderId="0" fillId="8" fontId="13" numFmtId="0" xfId="0" applyAlignment="1" applyFont="1">
      <alignment horizontal="center" readingOrder="0" shrinkToFit="0" wrapText="0"/>
    </xf>
    <xf borderId="0" fillId="8" fontId="13" numFmtId="10" xfId="0" applyAlignment="1" applyFont="1" applyNumberFormat="1">
      <alignment horizontal="center" readingOrder="0" shrinkToFit="0" wrapText="0"/>
    </xf>
    <xf borderId="0" fillId="9" fontId="9" numFmtId="10" xfId="0" applyAlignment="1" applyFont="1" applyNumberFormat="1">
      <alignment horizontal="center" readingOrder="0" shrinkToFit="0" wrapText="0"/>
    </xf>
    <xf borderId="0" fillId="10" fontId="13" numFmtId="0" xfId="0" applyAlignment="1" applyFont="1">
      <alignment horizontal="center" readingOrder="0" shrinkToFit="0" wrapText="0"/>
    </xf>
    <xf borderId="0" fillId="10" fontId="13" numFmtId="10" xfId="0" applyAlignment="1" applyFont="1" applyNumberFormat="1">
      <alignment horizontal="center" readingOrder="0" shrinkToFit="0" wrapText="0"/>
    </xf>
    <xf borderId="0" fillId="11" fontId="9" numFmtId="10" xfId="0" applyAlignment="1" applyFont="1" applyNumberFormat="1">
      <alignment horizontal="center" readingOrder="0" shrinkToFit="0" wrapText="0"/>
    </xf>
    <xf borderId="0" fillId="12" fontId="13" numFmtId="0" xfId="0" applyAlignment="1" applyFont="1">
      <alignment horizontal="center" readingOrder="0" shrinkToFit="0" wrapText="0"/>
    </xf>
    <xf borderId="0" fillId="12" fontId="13" numFmtId="10" xfId="0" applyAlignment="1" applyFont="1" applyNumberFormat="1">
      <alignment horizontal="center" readingOrder="0" shrinkToFit="0" wrapText="0"/>
    </xf>
    <xf borderId="0" fillId="13" fontId="9" numFmtId="10" xfId="0" applyAlignment="1" applyFont="1" applyNumberFormat="1">
      <alignment horizontal="center" readingOrder="0" shrinkToFit="0" wrapText="0"/>
    </xf>
    <xf borderId="0" fillId="0" fontId="14" numFmtId="0" xfId="0" applyAlignment="1" applyFont="1">
      <alignment vertical="bottom"/>
    </xf>
    <xf borderId="0" fillId="14" fontId="9" numFmtId="0" xfId="0" applyAlignment="1" applyFill="1" applyFont="1">
      <alignment horizontal="left" readingOrder="0" shrinkToFit="0" wrapText="0"/>
    </xf>
    <xf borderId="0" fillId="14" fontId="13" numFmtId="0" xfId="0" applyAlignment="1" applyFont="1">
      <alignment horizontal="left" readingOrder="0" shrinkToFit="0" wrapText="0"/>
    </xf>
    <xf borderId="0" fillId="14" fontId="9" numFmtId="0" xfId="0" applyAlignment="1" applyFont="1">
      <alignment horizontal="center" readingOrder="0" shrinkToFit="0" wrapText="0"/>
    </xf>
    <xf borderId="0" fillId="6" fontId="9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9" numFmtId="0" xfId="0" applyAlignment="1" applyFont="1">
      <alignment horizontal="center" readingOrder="0" shrinkToFit="0" wrapText="0"/>
    </xf>
    <xf borderId="8" fillId="15" fontId="15" numFmtId="0" xfId="0" applyAlignment="1" applyBorder="1" applyFill="1" applyFont="1">
      <alignment horizontal="left" readingOrder="0" shrinkToFit="0" wrapText="0"/>
    </xf>
    <xf borderId="9" fillId="15" fontId="15" numFmtId="0" xfId="0" applyAlignment="1" applyBorder="1" applyFont="1">
      <alignment horizontal="left" readingOrder="0" shrinkToFit="0" wrapText="0"/>
    </xf>
    <xf borderId="10" fillId="15" fontId="15" numFmtId="0" xfId="0" applyAlignment="1" applyBorder="1" applyFont="1">
      <alignment horizontal="left" readingOrder="0" shrinkToFit="0" wrapText="0"/>
    </xf>
    <xf borderId="11" fillId="2" fontId="12" numFmtId="0" xfId="0" applyAlignment="1" applyBorder="1" applyFont="1">
      <alignment horizontal="center" readingOrder="0" shrinkToFit="0" wrapText="0"/>
    </xf>
    <xf borderId="0" fillId="0" fontId="16" numFmtId="0" xfId="0" applyAlignment="1" applyFont="1">
      <alignment shrinkToFit="0" vertical="bottom" wrapText="0"/>
    </xf>
    <xf borderId="12" fillId="16" fontId="17" numFmtId="0" xfId="0" applyAlignment="1" applyBorder="1" applyFill="1" applyFont="1">
      <alignment horizontal="left" readingOrder="0" shrinkToFit="0" wrapText="0"/>
    </xf>
    <xf borderId="12" fillId="16" fontId="17" numFmtId="0" xfId="0" applyAlignment="1" applyBorder="1" applyFont="1">
      <alignment horizontal="center" readingOrder="0" shrinkToFit="0" wrapText="0"/>
    </xf>
    <xf borderId="12" fillId="17" fontId="17" numFmtId="0" xfId="0" applyAlignment="1" applyBorder="1" applyFill="1" applyFont="1">
      <alignment horizontal="left" readingOrder="0" shrinkToFit="0" wrapText="0"/>
    </xf>
    <xf borderId="12" fillId="17" fontId="17" numFmtId="0" xfId="0" applyAlignment="1" applyBorder="1" applyFont="1">
      <alignment horizontal="center" readingOrder="0" shrinkToFit="0" wrapText="0"/>
    </xf>
    <xf borderId="12" fillId="16" fontId="12" numFmtId="0" xfId="0" applyAlignment="1" applyBorder="1" applyFont="1">
      <alignment horizontal="left" readingOrder="0" shrinkToFit="0" wrapText="0"/>
    </xf>
    <xf borderId="12" fillId="16" fontId="12" numFmtId="0" xfId="0" applyAlignment="1" applyBorder="1" applyFont="1">
      <alignment horizontal="center" readingOrder="0" shrinkToFit="0" wrapText="0"/>
    </xf>
    <xf borderId="12" fillId="17" fontId="17" numFmtId="0" xfId="0" applyAlignment="1" applyBorder="1" applyFont="1">
      <alignment horizontal="left" shrinkToFit="0" wrapText="0"/>
    </xf>
    <xf borderId="12" fillId="17" fontId="12" numFmtId="0" xfId="0" applyAlignment="1" applyBorder="1" applyFont="1">
      <alignment horizontal="center" readingOrder="0" shrinkToFit="0" wrapText="0"/>
    </xf>
    <xf borderId="12" fillId="18" fontId="12" numFmtId="0" xfId="0" applyAlignment="1" applyBorder="1" applyFill="1" applyFont="1">
      <alignment horizontal="left" readingOrder="0" shrinkToFit="0" wrapText="0"/>
    </xf>
    <xf borderId="12" fillId="18" fontId="12" numFmtId="0" xfId="0" applyAlignment="1" applyBorder="1" applyFont="1">
      <alignment horizontal="center" readingOrder="0" shrinkToFit="0" wrapText="0"/>
    </xf>
    <xf borderId="12" fillId="18" fontId="17" numFmtId="0" xfId="0" applyAlignment="1" applyBorder="1" applyFont="1">
      <alignment horizontal="center" readingOrder="0" shrinkToFit="0" wrapText="0"/>
    </xf>
    <xf borderId="12" fillId="19" fontId="17" numFmtId="0" xfId="0" applyAlignment="1" applyBorder="1" applyFill="1" applyFont="1">
      <alignment horizontal="left" shrinkToFit="0" wrapText="0"/>
    </xf>
    <xf borderId="12" fillId="19" fontId="12" numFmtId="0" xfId="0" applyAlignment="1" applyBorder="1" applyFont="1">
      <alignment horizontal="center" readingOrder="0" shrinkToFit="0" wrapText="0"/>
    </xf>
    <xf borderId="12" fillId="19" fontId="17" numFmtId="0" xfId="0" applyAlignment="1" applyBorder="1" applyFont="1">
      <alignment horizontal="center" readingOrder="0" shrinkToFit="0" wrapText="0"/>
    </xf>
    <xf borderId="12" fillId="20" fontId="12" numFmtId="0" xfId="0" applyAlignment="1" applyBorder="1" applyFill="1" applyFont="1">
      <alignment horizontal="left" readingOrder="0" shrinkToFit="0" wrapText="0"/>
    </xf>
    <xf borderId="12" fillId="20" fontId="12" numFmtId="0" xfId="0" applyAlignment="1" applyBorder="1" applyFont="1">
      <alignment horizontal="center" readingOrder="0" shrinkToFit="0" wrapText="0"/>
    </xf>
    <xf borderId="12" fillId="20" fontId="17" numFmtId="0" xfId="0" applyAlignment="1" applyBorder="1" applyFont="1">
      <alignment horizontal="center" readingOrder="0" shrinkToFit="0" wrapText="0"/>
    </xf>
    <xf borderId="12" fillId="4" fontId="17" numFmtId="0" xfId="0" applyAlignment="1" applyBorder="1" applyFont="1">
      <alignment horizontal="left" shrinkToFit="0" wrapText="0"/>
    </xf>
    <xf borderId="12" fillId="4" fontId="12" numFmtId="0" xfId="0" applyAlignment="1" applyBorder="1" applyFont="1">
      <alignment horizontal="center" readingOrder="0" shrinkToFit="0" wrapText="0"/>
    </xf>
    <xf borderId="12" fillId="4" fontId="17" numFmtId="0" xfId="0" applyAlignment="1" applyBorder="1" applyFont="1">
      <alignment horizontal="center" readingOrder="0" shrinkToFit="0" wrapText="0"/>
    </xf>
    <xf borderId="12" fillId="21" fontId="12" numFmtId="0" xfId="0" applyAlignment="1" applyBorder="1" applyFill="1" applyFont="1">
      <alignment horizontal="left" readingOrder="0" shrinkToFit="0" wrapText="0"/>
    </xf>
    <xf borderId="12" fillId="21" fontId="12" numFmtId="0" xfId="0" applyAlignment="1" applyBorder="1" applyFont="1">
      <alignment horizontal="center" readingOrder="0" shrinkToFit="0" wrapText="0"/>
    </xf>
    <xf borderId="12" fillId="21" fontId="17" numFmtId="0" xfId="0" applyAlignment="1" applyBorder="1" applyFont="1">
      <alignment horizontal="center" readingOrder="0" shrinkToFit="0" wrapText="0"/>
    </xf>
    <xf borderId="12" fillId="22" fontId="17" numFmtId="0" xfId="0" applyAlignment="1" applyBorder="1" applyFill="1" applyFont="1">
      <alignment horizontal="left" shrinkToFit="0" wrapText="0"/>
    </xf>
    <xf borderId="12" fillId="22" fontId="12" numFmtId="0" xfId="0" applyAlignment="1" applyBorder="1" applyFont="1">
      <alignment horizontal="center" readingOrder="0" shrinkToFit="0" wrapText="0"/>
    </xf>
    <xf borderId="12" fillId="22" fontId="17" numFmtId="0" xfId="0" applyAlignment="1" applyBorder="1" applyFont="1">
      <alignment horizontal="center" readingOrder="0" shrinkToFit="0" wrapText="0"/>
    </xf>
    <xf borderId="8" fillId="23" fontId="15" numFmtId="0" xfId="0" applyAlignment="1" applyBorder="1" applyFill="1" applyFont="1">
      <alignment horizontal="left" readingOrder="0" shrinkToFit="0" wrapText="0"/>
    </xf>
    <xf borderId="9" fillId="23" fontId="15" numFmtId="0" xfId="0" applyAlignment="1" applyBorder="1" applyFont="1">
      <alignment horizontal="left" readingOrder="0" shrinkToFit="0" wrapText="0"/>
    </xf>
    <xf borderId="11" fillId="24" fontId="12" numFmtId="0" xfId="0" applyAlignment="1" applyBorder="1" applyFill="1" applyFont="1">
      <alignment horizontal="center" readingOrder="0" shrinkToFit="0" wrapText="0"/>
    </xf>
    <xf borderId="12" fillId="25" fontId="17" numFmtId="0" xfId="0" applyAlignment="1" applyBorder="1" applyFill="1" applyFont="1">
      <alignment horizontal="left" readingOrder="0" shrinkToFit="0" wrapText="0"/>
    </xf>
    <xf borderId="12" fillId="25" fontId="17" numFmtId="0" xfId="0" applyAlignment="1" applyBorder="1" applyFont="1">
      <alignment horizontal="center" readingOrder="0" shrinkToFit="0" wrapText="0"/>
    </xf>
    <xf borderId="12" fillId="26" fontId="12" numFmtId="0" xfId="0" applyAlignment="1" applyBorder="1" applyFill="1" applyFont="1">
      <alignment horizontal="center" readingOrder="0" shrinkToFit="0" wrapText="0"/>
    </xf>
    <xf borderId="12" fillId="27" fontId="17" numFmtId="0" xfId="0" applyAlignment="1" applyBorder="1" applyFill="1" applyFont="1">
      <alignment horizontal="left" readingOrder="0" shrinkToFit="0" wrapText="0"/>
    </xf>
    <xf borderId="12" fillId="27" fontId="17" numFmtId="0" xfId="0" applyAlignment="1" applyBorder="1" applyFont="1">
      <alignment horizontal="center" readingOrder="0" shrinkToFit="0" wrapText="0"/>
    </xf>
    <xf borderId="11" fillId="24" fontId="12" numFmtId="0" xfId="0" applyAlignment="1" applyBorder="1" applyFont="1">
      <alignment horizontal="center" readingOrder="0"/>
    </xf>
    <xf borderId="12" fillId="18" fontId="17" numFmtId="0" xfId="0" applyAlignment="1" applyBorder="1" applyFont="1">
      <alignment horizontal="left" readingOrder="0" shrinkToFit="0" wrapText="0"/>
    </xf>
    <xf borderId="12" fillId="18" fontId="18" numFmtId="0" xfId="0" applyAlignment="1" applyBorder="1" applyFont="1">
      <alignment horizontal="left" readingOrder="0"/>
    </xf>
    <xf borderId="12" fillId="20" fontId="17" numFmtId="0" xfId="0" applyAlignment="1" applyBorder="1" applyFont="1">
      <alignment horizontal="left" readingOrder="0" shrinkToFit="0" wrapText="0"/>
    </xf>
    <xf borderId="12" fillId="20" fontId="18" numFmtId="0" xfId="0" applyAlignment="1" applyBorder="1" applyFont="1">
      <alignment horizontal="left" readingOrder="0"/>
    </xf>
    <xf borderId="12" fillId="21" fontId="17" numFmtId="0" xfId="0" applyAlignment="1" applyBorder="1" applyFont="1">
      <alignment horizontal="left" readingOrder="0" shrinkToFit="0" wrapText="0"/>
    </xf>
    <xf borderId="12" fillId="21" fontId="18" numFmtId="0" xfId="0" applyAlignment="1" applyBorder="1" applyFont="1">
      <alignment horizontal="left" readingOrder="0"/>
    </xf>
    <xf borderId="11" fillId="4" fontId="12" numFmtId="0" xfId="0" applyAlignment="1" applyBorder="1" applyFont="1">
      <alignment horizontal="left" readingOrder="0"/>
    </xf>
    <xf borderId="13" fillId="4" fontId="19" numFmtId="0" xfId="0" applyAlignment="1" applyBorder="1" applyFont="1">
      <alignment horizontal="left" readingOrder="0"/>
    </xf>
    <xf borderId="14" fillId="4" fontId="19" numFmtId="0" xfId="0" applyAlignment="1" applyBorder="1" applyFont="1">
      <alignment horizontal="left" readingOrder="0"/>
    </xf>
    <xf borderId="12" fillId="4" fontId="12" numFmtId="0" xfId="0" applyAlignment="1" applyBorder="1" applyFont="1">
      <alignment horizontal="left" readingOrder="0"/>
    </xf>
    <xf borderId="15" fillId="4" fontId="19" numFmtId="0" xfId="0" applyAlignment="1" applyBorder="1" applyFont="1">
      <alignment horizontal="left" readingOrder="0"/>
    </xf>
    <xf borderId="16" fillId="4" fontId="19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0" fillId="28" fontId="9" numFmtId="0" xfId="0" applyAlignment="1" applyFill="1" applyFont="1">
      <alignment vertical="bottom"/>
    </xf>
    <xf borderId="0" fillId="0" fontId="8" numFmtId="0" xfId="0" applyFont="1"/>
    <xf borderId="0" fillId="29" fontId="9" numFmtId="0" xfId="0" applyAlignment="1" applyFill="1" applyFont="1">
      <alignment vertical="bottom"/>
    </xf>
    <xf borderId="0" fillId="29" fontId="8" numFmtId="4" xfId="0" applyFont="1" applyNumberFormat="1"/>
    <xf borderId="0" fillId="0" fontId="8" numFmtId="0" xfId="0" applyFont="1"/>
    <xf borderId="0" fillId="29" fontId="9" numFmtId="0" xfId="0" applyAlignment="1" applyFont="1">
      <alignment readingOrder="0" vertical="bottom"/>
    </xf>
    <xf borderId="7" fillId="29" fontId="9" numFmtId="0" xfId="0" applyAlignment="1" applyBorder="1" applyFont="1">
      <alignment vertical="bottom"/>
    </xf>
    <xf borderId="7" fillId="29" fontId="8" numFmtId="4" xfId="0" applyBorder="1" applyFont="1" applyNumberFormat="1"/>
    <xf borderId="0" fillId="4" fontId="9" numFmtId="0" xfId="0" applyAlignment="1" applyFont="1">
      <alignment vertical="bottom"/>
    </xf>
    <xf borderId="0" fillId="4" fontId="8" numFmtId="4" xfId="0" applyFont="1" applyNumberFormat="1"/>
    <xf borderId="0" fillId="30" fontId="9" numFmtId="0" xfId="0" applyAlignment="1" applyFill="1" applyFont="1">
      <alignment vertical="bottom"/>
    </xf>
    <xf borderId="0" fillId="30" fontId="8" numFmtId="4" xfId="0" applyFont="1" applyNumberFormat="1"/>
    <xf borderId="0" fillId="30" fontId="9" numFmtId="0" xfId="0" applyAlignment="1" applyFont="1">
      <alignment readingOrder="0" vertical="bottom"/>
    </xf>
    <xf borderId="7" fillId="30" fontId="9" numFmtId="0" xfId="0" applyAlignment="1" applyBorder="1" applyFont="1">
      <alignment vertical="bottom"/>
    </xf>
    <xf borderId="7" fillId="30" fontId="9" numFmtId="0" xfId="0" applyAlignment="1" applyBorder="1" applyFont="1">
      <alignment readingOrder="0" vertical="bottom"/>
    </xf>
    <xf borderId="7" fillId="30" fontId="8" numFmtId="4" xfId="0" applyBorder="1" applyFont="1" applyNumberFormat="1"/>
    <xf borderId="0" fillId="31" fontId="9" numFmtId="0" xfId="0" applyAlignment="1" applyFill="1" applyFont="1">
      <alignment vertical="bottom"/>
    </xf>
    <xf borderId="0" fillId="31" fontId="8" numFmtId="4" xfId="0" applyFont="1" applyNumberFormat="1"/>
    <xf borderId="7" fillId="0" fontId="8" numFmtId="0" xfId="0" applyAlignment="1" applyBorder="1" applyFont="1">
      <alignment readingOrder="0"/>
    </xf>
    <xf borderId="7" fillId="0" fontId="8" numFmtId="0" xfId="0" applyBorder="1" applyFont="1"/>
    <xf borderId="0" fillId="32" fontId="9" numFmtId="0" xfId="0" applyAlignment="1" applyFill="1" applyFont="1">
      <alignment vertical="bottom"/>
    </xf>
    <xf borderId="0" fillId="32" fontId="8" numFmtId="4" xfId="0" applyFont="1" applyNumberFormat="1"/>
    <xf borderId="6" fillId="0" fontId="8" numFmtId="0" xfId="0" applyAlignment="1" applyBorder="1" applyFont="1">
      <alignment readingOrder="0"/>
    </xf>
    <xf borderId="6" fillId="0" fontId="8" numFmtId="0" xfId="0" applyBorder="1" applyFont="1"/>
    <xf borderId="0" fillId="3" fontId="8" numFmtId="4" xfId="0" applyFont="1" applyNumberFormat="1"/>
    <xf borderId="17" fillId="0" fontId="8" numFmtId="0" xfId="0" applyAlignment="1" applyBorder="1" applyFont="1">
      <alignment readingOrder="0"/>
    </xf>
    <xf borderId="0" fillId="33" fontId="9" numFmtId="0" xfId="0" applyAlignment="1" applyFill="1" applyFont="1">
      <alignment vertical="bottom"/>
    </xf>
    <xf borderId="0" fillId="33" fontId="8" numFmtId="4" xfId="0" applyFont="1" applyNumberFormat="1"/>
    <xf borderId="7" fillId="33" fontId="9" numFmtId="0" xfId="0" applyAlignment="1" applyBorder="1" applyFont="1">
      <alignment vertical="bottom"/>
    </xf>
    <xf borderId="7" fillId="33" fontId="8" numFmtId="4" xfId="0" applyBorder="1" applyFont="1" applyNumberFormat="1"/>
    <xf borderId="0" fillId="0" fontId="20" numFmtId="0" xfId="0" applyAlignment="1" applyFont="1">
      <alignment horizontal="center" shrinkToFit="0" vertical="bottom" wrapText="0"/>
    </xf>
    <xf borderId="0" fillId="0" fontId="8" numFmtId="164" xfId="0" applyAlignment="1" applyFont="1" applyNumberFormat="1">
      <alignment readingOrder="0"/>
    </xf>
    <xf borderId="0" fillId="0" fontId="9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0.5"/>
    <col customWidth="1" min="3" max="3" width="5.25"/>
    <col customWidth="1" min="5" max="5" width="13.88"/>
    <col customWidth="1" min="6" max="6" width="19.5"/>
    <col customWidth="1" min="7" max="7" width="5.25"/>
    <col customWidth="1" min="9" max="9" width="21.63"/>
    <col customWidth="1" min="10" max="10" width="29.38"/>
    <col customWidth="1" min="11" max="11" width="5.25"/>
    <col customWidth="1" min="13" max="13" width="7.25"/>
    <col customWidth="1" min="14" max="14" width="32.13"/>
    <col customWidth="1" min="15" max="16" width="7.0"/>
  </cols>
  <sheetData>
    <row r="1">
      <c r="A1" s="1" t="s">
        <v>0</v>
      </c>
      <c r="B1" s="1" t="s">
        <v>1</v>
      </c>
      <c r="C1" s="2" t="s">
        <v>2</v>
      </c>
      <c r="D1" s="3"/>
      <c r="E1" s="4" t="s">
        <v>3</v>
      </c>
      <c r="F1" s="4" t="s">
        <v>4</v>
      </c>
      <c r="G1" s="5" t="s">
        <v>2</v>
      </c>
      <c r="H1" s="5"/>
      <c r="I1" s="6" t="s">
        <v>5</v>
      </c>
      <c r="J1" s="6" t="s">
        <v>6</v>
      </c>
      <c r="K1" s="7" t="s">
        <v>2</v>
      </c>
      <c r="L1" s="8"/>
    </row>
    <row r="2">
      <c r="A2" s="9" t="s">
        <v>7</v>
      </c>
      <c r="B2" s="10" t="s">
        <v>8</v>
      </c>
      <c r="C2" s="11">
        <v>3.0</v>
      </c>
      <c r="D2" s="8"/>
      <c r="E2" s="12" t="s">
        <v>9</v>
      </c>
      <c r="F2" s="12" t="s">
        <v>10</v>
      </c>
      <c r="G2" s="8">
        <v>3.75</v>
      </c>
      <c r="H2" s="8"/>
      <c r="I2" s="13" t="s">
        <v>11</v>
      </c>
      <c r="J2" s="9" t="s">
        <v>12</v>
      </c>
      <c r="K2" s="11">
        <v>3.9375</v>
      </c>
      <c r="L2" s="8"/>
      <c r="M2" s="14" t="s">
        <v>13</v>
      </c>
      <c r="N2" s="15"/>
    </row>
    <row r="3">
      <c r="A3" s="12" t="s">
        <v>14</v>
      </c>
      <c r="B3" s="16" t="s">
        <v>10</v>
      </c>
      <c r="C3" s="8">
        <v>2.5625</v>
      </c>
      <c r="D3" s="8"/>
      <c r="E3" s="12" t="s">
        <v>15</v>
      </c>
      <c r="F3" s="12" t="s">
        <v>10</v>
      </c>
      <c r="G3" s="8">
        <v>2.9375</v>
      </c>
      <c r="H3" s="8"/>
      <c r="I3" s="12" t="s">
        <v>16</v>
      </c>
      <c r="J3" s="16" t="s">
        <v>10</v>
      </c>
      <c r="K3" s="8">
        <v>3.4375</v>
      </c>
      <c r="L3" s="8"/>
      <c r="M3" s="17" t="s">
        <v>17</v>
      </c>
      <c r="N3" s="18" t="s">
        <v>18</v>
      </c>
    </row>
    <row r="4">
      <c r="A4" s="12" t="s">
        <v>19</v>
      </c>
      <c r="B4" s="16" t="s">
        <v>10</v>
      </c>
      <c r="C4" s="8">
        <v>2.75</v>
      </c>
      <c r="D4" s="8"/>
      <c r="E4" s="12" t="s">
        <v>20</v>
      </c>
      <c r="F4" s="12" t="s">
        <v>10</v>
      </c>
      <c r="G4" s="8">
        <v>3.3125</v>
      </c>
      <c r="H4" s="8"/>
      <c r="I4" s="12" t="s">
        <v>21</v>
      </c>
      <c r="J4" s="16" t="s">
        <v>10</v>
      </c>
      <c r="K4" s="8">
        <v>3.46875</v>
      </c>
      <c r="L4" s="8"/>
      <c r="M4" s="19" t="s">
        <v>22</v>
      </c>
      <c r="N4" s="20" t="s">
        <v>23</v>
      </c>
    </row>
    <row r="5">
      <c r="A5" s="12" t="s">
        <v>24</v>
      </c>
      <c r="B5" s="16" t="s">
        <v>10</v>
      </c>
      <c r="C5" s="8">
        <v>2.28125</v>
      </c>
      <c r="D5" s="8"/>
      <c r="E5" s="12" t="s">
        <v>25</v>
      </c>
      <c r="F5" s="12" t="s">
        <v>10</v>
      </c>
      <c r="G5" s="8">
        <v>3.28125</v>
      </c>
      <c r="H5" s="8"/>
      <c r="I5" s="12" t="s">
        <v>26</v>
      </c>
      <c r="J5" s="12" t="s">
        <v>10</v>
      </c>
      <c r="K5" s="8">
        <v>3.5625</v>
      </c>
      <c r="L5" s="8"/>
      <c r="M5" s="21" t="s">
        <v>27</v>
      </c>
      <c r="N5" s="22" t="s">
        <v>28</v>
      </c>
    </row>
    <row r="6">
      <c r="A6" s="12" t="s">
        <v>29</v>
      </c>
      <c r="B6" s="16" t="s">
        <v>10</v>
      </c>
      <c r="C6" s="8">
        <v>3.46875</v>
      </c>
      <c r="D6" s="8"/>
      <c r="E6" s="12" t="s">
        <v>30</v>
      </c>
      <c r="F6" s="12" t="s">
        <v>10</v>
      </c>
      <c r="G6" s="8">
        <v>2.5</v>
      </c>
      <c r="H6" s="8"/>
      <c r="I6" s="12" t="s">
        <v>31</v>
      </c>
      <c r="J6" s="12" t="s">
        <v>10</v>
      </c>
      <c r="K6" s="8">
        <v>2.90625</v>
      </c>
      <c r="L6" s="8"/>
    </row>
    <row r="7">
      <c r="A7" s="12" t="s">
        <v>32</v>
      </c>
      <c r="B7" s="16" t="s">
        <v>10</v>
      </c>
      <c r="C7" s="8">
        <v>2.25</v>
      </c>
      <c r="D7" s="8"/>
      <c r="E7" s="12" t="s">
        <v>33</v>
      </c>
      <c r="F7" s="12" t="s">
        <v>10</v>
      </c>
      <c r="G7" s="8">
        <v>2.0625</v>
      </c>
      <c r="H7" s="8"/>
      <c r="I7" s="12" t="s">
        <v>34</v>
      </c>
      <c r="J7" s="12" t="s">
        <v>35</v>
      </c>
      <c r="K7" s="8">
        <v>1.78125</v>
      </c>
      <c r="L7" s="8"/>
    </row>
    <row r="8">
      <c r="A8" s="12" t="s">
        <v>36</v>
      </c>
      <c r="B8" s="16" t="s">
        <v>10</v>
      </c>
      <c r="C8" s="8">
        <v>3.21875</v>
      </c>
      <c r="D8" s="8"/>
      <c r="E8" s="12" t="s">
        <v>37</v>
      </c>
      <c r="F8" s="12" t="s">
        <v>10</v>
      </c>
      <c r="G8" s="8">
        <v>2.6875</v>
      </c>
      <c r="H8" s="8"/>
      <c r="I8" s="23" t="s">
        <v>38</v>
      </c>
      <c r="J8" s="12" t="s">
        <v>35</v>
      </c>
      <c r="K8" s="8">
        <v>2.5625</v>
      </c>
      <c r="L8" s="8"/>
    </row>
    <row r="9">
      <c r="A9" s="12" t="s">
        <v>39</v>
      </c>
      <c r="B9" s="16" t="s">
        <v>10</v>
      </c>
      <c r="C9" s="8">
        <v>3.1875</v>
      </c>
      <c r="D9" s="8"/>
      <c r="E9" s="12" t="s">
        <v>40</v>
      </c>
      <c r="F9" s="12" t="s">
        <v>10</v>
      </c>
      <c r="G9" s="8">
        <v>2.09375</v>
      </c>
      <c r="H9" s="8"/>
      <c r="I9" s="13" t="s">
        <v>41</v>
      </c>
      <c r="J9" s="12" t="s">
        <v>35</v>
      </c>
      <c r="K9" s="8">
        <v>3.0625</v>
      </c>
      <c r="L9" s="8"/>
    </row>
    <row r="10">
      <c r="A10" s="12" t="s">
        <v>42</v>
      </c>
      <c r="B10" s="16" t="s">
        <v>10</v>
      </c>
      <c r="C10" s="8">
        <v>3.6875</v>
      </c>
      <c r="D10" s="8"/>
      <c r="E10" s="12" t="s">
        <v>43</v>
      </c>
      <c r="F10" s="12" t="s">
        <v>10</v>
      </c>
      <c r="G10" s="8">
        <v>2.71875</v>
      </c>
      <c r="H10" s="8"/>
      <c r="I10" s="9" t="s">
        <v>44</v>
      </c>
      <c r="J10" s="9" t="s">
        <v>45</v>
      </c>
      <c r="K10" s="11">
        <v>4.0</v>
      </c>
      <c r="L10" s="8"/>
    </row>
    <row r="11">
      <c r="A11" s="12" t="s">
        <v>46</v>
      </c>
      <c r="B11" s="16" t="s">
        <v>10</v>
      </c>
      <c r="C11" s="8">
        <v>2.40625</v>
      </c>
      <c r="D11" s="8"/>
      <c r="E11" s="12" t="s">
        <v>47</v>
      </c>
      <c r="F11" s="12" t="s">
        <v>10</v>
      </c>
      <c r="G11" s="8">
        <v>1.75</v>
      </c>
      <c r="H11" s="8"/>
      <c r="I11" s="24" t="s">
        <v>48</v>
      </c>
      <c r="J11" s="23" t="s">
        <v>49</v>
      </c>
      <c r="K11" s="8">
        <v>3.09375</v>
      </c>
      <c r="L11" s="8"/>
    </row>
    <row r="12">
      <c r="A12" s="12" t="s">
        <v>50</v>
      </c>
      <c r="B12" s="12" t="s">
        <v>35</v>
      </c>
      <c r="C12" s="8">
        <v>3.15625</v>
      </c>
      <c r="D12" s="8"/>
      <c r="E12" s="12" t="s">
        <v>51</v>
      </c>
      <c r="F12" s="12" t="s">
        <v>10</v>
      </c>
      <c r="G12" s="8">
        <v>2.40625</v>
      </c>
      <c r="H12" s="8"/>
      <c r="I12" s="24" t="s">
        <v>52</v>
      </c>
      <c r="J12" s="23" t="s">
        <v>49</v>
      </c>
      <c r="K12" s="8">
        <v>4.0625</v>
      </c>
      <c r="L12" s="8"/>
      <c r="M12" s="25" t="s">
        <v>53</v>
      </c>
      <c r="N12" s="25" t="s">
        <v>2</v>
      </c>
      <c r="O12" s="26" t="s">
        <v>54</v>
      </c>
    </row>
    <row r="13">
      <c r="A13" s="23" t="s">
        <v>55</v>
      </c>
      <c r="B13" s="12" t="s">
        <v>35</v>
      </c>
      <c r="C13" s="8">
        <v>2.9375</v>
      </c>
      <c r="D13" s="8"/>
      <c r="E13" s="12" t="s">
        <v>56</v>
      </c>
      <c r="F13" s="12" t="s">
        <v>10</v>
      </c>
      <c r="G13" s="8">
        <v>2.625</v>
      </c>
      <c r="H13" s="8"/>
      <c r="I13" s="24" t="s">
        <v>57</v>
      </c>
      <c r="J13" s="23" t="s">
        <v>49</v>
      </c>
      <c r="K13" s="8">
        <v>2.21875</v>
      </c>
      <c r="L13" s="8"/>
      <c r="M13" s="27" t="s">
        <v>58</v>
      </c>
      <c r="N13" s="28">
        <v>1.8611111111111112</v>
      </c>
      <c r="O13" s="28">
        <v>1.0889380229230117</v>
      </c>
    </row>
    <row r="14">
      <c r="A14" s="12" t="s">
        <v>59</v>
      </c>
      <c r="B14" s="12" t="s">
        <v>35</v>
      </c>
      <c r="C14" s="8">
        <v>2.25</v>
      </c>
      <c r="D14" s="8"/>
      <c r="E14" s="12" t="s">
        <v>60</v>
      </c>
      <c r="F14" s="12" t="s">
        <v>10</v>
      </c>
      <c r="G14" s="8">
        <v>2.125</v>
      </c>
      <c r="H14" s="8"/>
      <c r="I14" s="12" t="s">
        <v>61</v>
      </c>
      <c r="J14" s="29" t="s">
        <v>49</v>
      </c>
      <c r="K14" s="8">
        <v>2.78125</v>
      </c>
      <c r="L14" s="8"/>
      <c r="M14" s="27" t="s">
        <v>62</v>
      </c>
      <c r="N14" s="28">
        <v>2.8993055555555554</v>
      </c>
      <c r="O14" s="28">
        <v>1.4760504374110606</v>
      </c>
    </row>
    <row r="15">
      <c r="A15" s="12" t="s">
        <v>63</v>
      </c>
      <c r="B15" s="12" t="s">
        <v>35</v>
      </c>
      <c r="C15" s="8">
        <v>3.03125</v>
      </c>
      <c r="D15" s="8"/>
      <c r="E15" s="12" t="s">
        <v>64</v>
      </c>
      <c r="F15" s="12" t="s">
        <v>10</v>
      </c>
      <c r="G15" s="8">
        <v>2.84375</v>
      </c>
      <c r="H15" s="8"/>
      <c r="I15" s="24" t="s">
        <v>65</v>
      </c>
      <c r="J15" s="29" t="s">
        <v>49</v>
      </c>
      <c r="K15" s="8">
        <v>3.4375</v>
      </c>
      <c r="L15" s="8"/>
      <c r="M15" s="27" t="s">
        <v>66</v>
      </c>
      <c r="N15" s="28">
        <v>2.5636574074074074</v>
      </c>
      <c r="O15" s="28">
        <v>1.3921226998174971</v>
      </c>
    </row>
    <row r="16">
      <c r="A16" s="12" t="s">
        <v>67</v>
      </c>
      <c r="B16" s="12" t="s">
        <v>35</v>
      </c>
      <c r="C16" s="8">
        <v>3.46875</v>
      </c>
      <c r="D16" s="8"/>
      <c r="E16" s="12" t="s">
        <v>68</v>
      </c>
      <c r="F16" s="12" t="s">
        <v>10</v>
      </c>
      <c r="G16" s="8">
        <v>1.75</v>
      </c>
      <c r="H16" s="8"/>
      <c r="I16" s="24" t="s">
        <v>69</v>
      </c>
      <c r="J16" s="23" t="s">
        <v>70</v>
      </c>
      <c r="K16" s="8">
        <v>1.96875</v>
      </c>
      <c r="L16" s="8"/>
      <c r="M16" s="30" t="s">
        <v>71</v>
      </c>
      <c r="N16" s="31">
        <v>3.013888888888889</v>
      </c>
      <c r="O16" s="31">
        <v>1.4601041778310677</v>
      </c>
    </row>
    <row r="17">
      <c r="A17" s="12" t="s">
        <v>72</v>
      </c>
      <c r="B17" s="12" t="s">
        <v>35</v>
      </c>
      <c r="C17" s="8">
        <v>3.1875</v>
      </c>
      <c r="D17" s="8"/>
      <c r="E17" s="12" t="s">
        <v>73</v>
      </c>
      <c r="F17" s="12" t="s">
        <v>10</v>
      </c>
      <c r="G17" s="8">
        <v>3.15625</v>
      </c>
      <c r="H17" s="8"/>
      <c r="I17" s="12" t="s">
        <v>74</v>
      </c>
      <c r="J17" s="23" t="s">
        <v>70</v>
      </c>
      <c r="K17" s="8">
        <v>3.9375</v>
      </c>
      <c r="L17" s="8"/>
    </row>
    <row r="18">
      <c r="A18" s="12" t="s">
        <v>75</v>
      </c>
      <c r="B18" s="12" t="s">
        <v>35</v>
      </c>
      <c r="C18" s="8">
        <v>3.0625</v>
      </c>
      <c r="D18" s="8"/>
      <c r="E18" s="12" t="s">
        <v>76</v>
      </c>
      <c r="F18" s="12" t="s">
        <v>10</v>
      </c>
      <c r="G18" s="8">
        <v>2.15625</v>
      </c>
      <c r="H18" s="8"/>
      <c r="I18" s="12" t="s">
        <v>77</v>
      </c>
      <c r="J18" s="23" t="s">
        <v>70</v>
      </c>
      <c r="K18" s="8">
        <v>2.40625</v>
      </c>
      <c r="L18" s="8"/>
    </row>
    <row r="19">
      <c r="A19" s="12" t="s">
        <v>78</v>
      </c>
      <c r="B19" s="12" t="s">
        <v>35</v>
      </c>
      <c r="C19" s="8">
        <v>3.125</v>
      </c>
      <c r="D19" s="8"/>
      <c r="E19" s="12" t="s">
        <v>79</v>
      </c>
      <c r="F19" s="12" t="s">
        <v>10</v>
      </c>
      <c r="G19" s="8">
        <v>2.21875</v>
      </c>
      <c r="H19" s="8"/>
      <c r="I19" s="12" t="s">
        <v>80</v>
      </c>
      <c r="J19" s="23" t="s">
        <v>70</v>
      </c>
      <c r="K19" s="8">
        <v>2.96875</v>
      </c>
      <c r="L19" s="8"/>
    </row>
    <row r="20">
      <c r="A20" s="12" t="s">
        <v>81</v>
      </c>
      <c r="B20" s="12" t="s">
        <v>35</v>
      </c>
      <c r="C20" s="8">
        <v>2.40625</v>
      </c>
      <c r="D20" s="8"/>
      <c r="E20" s="12" t="s">
        <v>82</v>
      </c>
      <c r="F20" s="12" t="s">
        <v>10</v>
      </c>
      <c r="G20" s="8">
        <v>2.46875</v>
      </c>
      <c r="H20" s="8"/>
      <c r="I20" s="24" t="s">
        <v>83</v>
      </c>
      <c r="J20" s="23" t="s">
        <v>84</v>
      </c>
      <c r="K20" s="8">
        <v>3.0</v>
      </c>
      <c r="L20" s="8"/>
    </row>
    <row r="21">
      <c r="A21" s="9" t="s">
        <v>85</v>
      </c>
      <c r="B21" s="9" t="s">
        <v>49</v>
      </c>
      <c r="C21" s="11">
        <v>2.28125</v>
      </c>
      <c r="D21" s="8"/>
      <c r="E21" s="12" t="s">
        <v>86</v>
      </c>
      <c r="F21" s="12" t="s">
        <v>35</v>
      </c>
      <c r="G21" s="8">
        <v>1.59375</v>
      </c>
      <c r="H21" s="8"/>
      <c r="I21" s="12" t="s">
        <v>87</v>
      </c>
      <c r="J21" s="23" t="s">
        <v>84</v>
      </c>
      <c r="K21" s="8">
        <v>3.78125</v>
      </c>
      <c r="L21" s="8"/>
    </row>
    <row r="22">
      <c r="A22" s="12" t="s">
        <v>88</v>
      </c>
      <c r="B22" s="12" t="s">
        <v>89</v>
      </c>
      <c r="C22" s="8">
        <v>2.5625</v>
      </c>
      <c r="D22" s="8"/>
      <c r="E22" s="12" t="s">
        <v>90</v>
      </c>
      <c r="F22" s="12" t="s">
        <v>35</v>
      </c>
      <c r="G22" s="8">
        <v>1.53125</v>
      </c>
      <c r="H22" s="8"/>
      <c r="I22" s="24" t="s">
        <v>91</v>
      </c>
      <c r="J22" s="9" t="s">
        <v>92</v>
      </c>
      <c r="K22" s="11">
        <v>3.0625</v>
      </c>
      <c r="L22" s="8"/>
    </row>
    <row r="23">
      <c r="A23" s="12" t="s">
        <v>93</v>
      </c>
      <c r="B23" s="12" t="s">
        <v>89</v>
      </c>
      <c r="C23" s="8">
        <v>2.25</v>
      </c>
      <c r="D23" s="8"/>
      <c r="E23" s="12" t="s">
        <v>94</v>
      </c>
      <c r="F23" s="12" t="s">
        <v>70</v>
      </c>
      <c r="G23" s="8">
        <v>2.8125</v>
      </c>
      <c r="H23" s="8"/>
      <c r="I23" s="24" t="s">
        <v>95</v>
      </c>
      <c r="J23" s="9" t="s">
        <v>96</v>
      </c>
      <c r="K23" s="11">
        <v>2.9375</v>
      </c>
      <c r="L23" s="8"/>
    </row>
    <row r="24">
      <c r="A24" s="12" t="s">
        <v>97</v>
      </c>
      <c r="B24" s="12" t="s">
        <v>70</v>
      </c>
      <c r="C24" s="8">
        <v>3.5625</v>
      </c>
      <c r="D24" s="8"/>
      <c r="E24" s="12" t="s">
        <v>98</v>
      </c>
      <c r="F24" s="12" t="s">
        <v>70</v>
      </c>
      <c r="G24" s="8">
        <v>2.1875</v>
      </c>
      <c r="H24" s="8"/>
      <c r="I24" s="12" t="s">
        <v>99</v>
      </c>
      <c r="J24" s="12" t="s">
        <v>100</v>
      </c>
      <c r="K24" s="8">
        <v>2.5</v>
      </c>
      <c r="L24" s="8"/>
    </row>
    <row r="25">
      <c r="A25" s="12" t="s">
        <v>101</v>
      </c>
      <c r="B25" s="12" t="s">
        <v>70</v>
      </c>
      <c r="C25" s="8">
        <v>2.71875</v>
      </c>
      <c r="D25" s="8"/>
      <c r="E25" s="12" t="s">
        <v>102</v>
      </c>
      <c r="F25" s="12" t="s">
        <v>70</v>
      </c>
      <c r="G25" s="8">
        <v>2.875</v>
      </c>
      <c r="H25" s="8"/>
      <c r="I25" s="23" t="s">
        <v>103</v>
      </c>
      <c r="J25" s="12" t="s">
        <v>100</v>
      </c>
      <c r="K25" s="8">
        <v>2.96875</v>
      </c>
      <c r="L25" s="8"/>
    </row>
    <row r="26">
      <c r="A26" s="12" t="s">
        <v>104</v>
      </c>
      <c r="B26" s="12" t="s">
        <v>100</v>
      </c>
      <c r="C26" s="8">
        <v>2.5</v>
      </c>
      <c r="D26" s="8"/>
      <c r="E26" s="24" t="s">
        <v>105</v>
      </c>
      <c r="F26" s="24" t="s">
        <v>70</v>
      </c>
      <c r="G26" s="8">
        <v>3.28125</v>
      </c>
      <c r="H26" s="8"/>
      <c r="I26" s="12" t="s">
        <v>106</v>
      </c>
      <c r="J26" s="12" t="s">
        <v>100</v>
      </c>
      <c r="K26" s="8">
        <v>2.4375</v>
      </c>
      <c r="L26" s="8"/>
    </row>
    <row r="27">
      <c r="A27" s="12" t="s">
        <v>107</v>
      </c>
      <c r="B27" s="12" t="s">
        <v>100</v>
      </c>
      <c r="C27" s="8">
        <v>3.6875</v>
      </c>
      <c r="D27" s="8"/>
      <c r="E27" s="12" t="s">
        <v>108</v>
      </c>
      <c r="F27" s="12" t="s">
        <v>109</v>
      </c>
      <c r="G27" s="8">
        <v>2.90625</v>
      </c>
      <c r="H27" s="8"/>
      <c r="I27" s="12" t="s">
        <v>110</v>
      </c>
      <c r="J27" s="12" t="s">
        <v>100</v>
      </c>
      <c r="K27" s="8">
        <v>2.46875</v>
      </c>
      <c r="L27" s="8"/>
    </row>
    <row r="28">
      <c r="A28" s="12" t="s">
        <v>111</v>
      </c>
      <c r="B28" s="12" t="s">
        <v>100</v>
      </c>
      <c r="C28" s="8">
        <v>3.28125</v>
      </c>
      <c r="D28" s="8"/>
      <c r="E28" s="12" t="s">
        <v>112</v>
      </c>
      <c r="F28" s="12" t="s">
        <v>109</v>
      </c>
      <c r="G28" s="8">
        <v>3.1875</v>
      </c>
      <c r="H28" s="8"/>
      <c r="I28" s="23" t="s">
        <v>113</v>
      </c>
      <c r="J28" s="12" t="s">
        <v>114</v>
      </c>
      <c r="K28" s="8">
        <v>2.625</v>
      </c>
      <c r="L28" s="8"/>
    </row>
    <row r="29">
      <c r="C29" s="8"/>
      <c r="D29" s="8"/>
      <c r="G29" s="8"/>
      <c r="H29" s="8"/>
      <c r="K29" s="8"/>
      <c r="L29" s="8"/>
    </row>
    <row r="30">
      <c r="C30" s="32"/>
      <c r="D30" s="8"/>
      <c r="G30" s="8"/>
      <c r="H30" s="8"/>
      <c r="K30" s="8"/>
      <c r="L3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8.63"/>
    <col customWidth="1" min="3" max="3" width="14.5"/>
    <col customWidth="1" min="4" max="4" width="7.25"/>
    <col customWidth="1" min="5" max="5" width="2.88"/>
    <col customWidth="1" min="6" max="6" width="13.63"/>
    <col customWidth="1" min="8" max="8" width="16.13"/>
    <col customWidth="1" min="9" max="9" width="5.13"/>
    <col customWidth="1" min="10" max="10" width="11.63"/>
  </cols>
  <sheetData>
    <row r="1">
      <c r="A1" s="33" t="s">
        <v>53</v>
      </c>
      <c r="B1" s="33" t="s">
        <v>115</v>
      </c>
      <c r="C1" s="33" t="s">
        <v>116</v>
      </c>
      <c r="D1" s="33" t="s">
        <v>117</v>
      </c>
      <c r="E1" s="33" t="s">
        <v>118</v>
      </c>
      <c r="F1" s="33" t="s">
        <v>119</v>
      </c>
    </row>
    <row r="2">
      <c r="A2" s="34" t="s">
        <v>62</v>
      </c>
      <c r="B2" s="35" t="s">
        <v>100</v>
      </c>
      <c r="C2" s="36">
        <v>3.1562</v>
      </c>
      <c r="D2" s="36">
        <v>0.6035</v>
      </c>
      <c r="E2" s="36">
        <v>3.0</v>
      </c>
      <c r="F2" s="37"/>
      <c r="H2" s="38" t="s">
        <v>120</v>
      </c>
    </row>
    <row r="3">
      <c r="A3" s="39" t="s">
        <v>62</v>
      </c>
      <c r="B3" s="39" t="s">
        <v>70</v>
      </c>
      <c r="C3" s="40">
        <v>3.1406</v>
      </c>
      <c r="D3" s="40">
        <v>0.5966</v>
      </c>
      <c r="E3" s="40">
        <v>2.0</v>
      </c>
      <c r="F3" s="41"/>
    </row>
    <row r="4">
      <c r="A4" s="39" t="s">
        <v>62</v>
      </c>
      <c r="B4" s="39" t="s">
        <v>121</v>
      </c>
      <c r="C4" s="40">
        <v>3.0</v>
      </c>
      <c r="D4" s="42"/>
      <c r="E4" s="40">
        <v>1.0</v>
      </c>
      <c r="F4" s="39" t="s">
        <v>122</v>
      </c>
    </row>
    <row r="5">
      <c r="A5" s="39" t="s">
        <v>62</v>
      </c>
      <c r="B5" s="39" t="s">
        <v>35</v>
      </c>
      <c r="C5" s="40">
        <v>2.9583</v>
      </c>
      <c r="D5" s="40">
        <v>0.3878</v>
      </c>
      <c r="E5" s="40">
        <v>9.0</v>
      </c>
      <c r="F5" s="41"/>
    </row>
    <row r="6">
      <c r="A6" s="39" t="s">
        <v>62</v>
      </c>
      <c r="B6" s="39" t="s">
        <v>10</v>
      </c>
      <c r="C6" s="40">
        <v>2.8681</v>
      </c>
      <c r="D6" s="40">
        <v>0.5367</v>
      </c>
      <c r="E6" s="40">
        <v>9.0</v>
      </c>
      <c r="F6" s="41"/>
    </row>
    <row r="7">
      <c r="A7" s="39" t="s">
        <v>62</v>
      </c>
      <c r="B7" s="39" t="s">
        <v>89</v>
      </c>
      <c r="C7" s="40">
        <v>2.4062</v>
      </c>
      <c r="D7" s="40">
        <v>0.221</v>
      </c>
      <c r="E7" s="40">
        <v>2.0</v>
      </c>
      <c r="F7" s="41"/>
    </row>
    <row r="8">
      <c r="A8" s="39" t="s">
        <v>62</v>
      </c>
      <c r="B8" s="39" t="s">
        <v>49</v>
      </c>
      <c r="C8" s="40">
        <v>2.2812</v>
      </c>
      <c r="D8" s="42"/>
      <c r="E8" s="40">
        <v>1.0</v>
      </c>
      <c r="F8" s="39" t="s">
        <v>122</v>
      </c>
    </row>
    <row r="9">
      <c r="A9" s="43" t="s">
        <v>66</v>
      </c>
      <c r="B9" s="44" t="s">
        <v>109</v>
      </c>
      <c r="C9" s="45">
        <v>3.0469</v>
      </c>
      <c r="D9" s="45">
        <v>0.1989</v>
      </c>
      <c r="E9" s="45">
        <v>2.0</v>
      </c>
      <c r="F9" s="46"/>
    </row>
    <row r="10">
      <c r="A10" s="47" t="s">
        <v>66</v>
      </c>
      <c r="B10" s="47" t="s">
        <v>70</v>
      </c>
      <c r="C10" s="48">
        <v>2.7891</v>
      </c>
      <c r="D10" s="48">
        <v>0.4517</v>
      </c>
      <c r="E10" s="48">
        <v>4.0</v>
      </c>
      <c r="F10" s="49"/>
    </row>
    <row r="11">
      <c r="A11" s="47" t="s">
        <v>66</v>
      </c>
      <c r="B11" s="47" t="s">
        <v>10</v>
      </c>
      <c r="C11" s="48">
        <v>2.5707</v>
      </c>
      <c r="D11" s="48">
        <v>0.548</v>
      </c>
      <c r="E11" s="48">
        <v>19.0</v>
      </c>
      <c r="F11" s="49"/>
      <c r="H11" s="50"/>
      <c r="I11" s="51" t="s">
        <v>2</v>
      </c>
      <c r="J11" s="52" t="s">
        <v>123</v>
      </c>
    </row>
    <row r="12">
      <c r="A12" s="47" t="s">
        <v>66</v>
      </c>
      <c r="B12" s="47" t="s">
        <v>35</v>
      </c>
      <c r="C12" s="48">
        <v>1.5625</v>
      </c>
      <c r="D12" s="48">
        <v>0.0442</v>
      </c>
      <c r="E12" s="48">
        <v>2.0</v>
      </c>
      <c r="F12" s="49"/>
      <c r="H12" s="53" t="s">
        <v>124</v>
      </c>
      <c r="I12" s="8">
        <v>2.7379032258064515</v>
      </c>
      <c r="J12" s="54">
        <v>0.5759207652295415</v>
      </c>
    </row>
    <row r="13">
      <c r="A13" s="55" t="s">
        <v>71</v>
      </c>
      <c r="B13" s="56" t="s">
        <v>45</v>
      </c>
      <c r="C13" s="57">
        <v>4.0</v>
      </c>
      <c r="D13" s="58"/>
      <c r="E13" s="57">
        <v>1.0</v>
      </c>
      <c r="F13" s="56" t="s">
        <v>122</v>
      </c>
      <c r="H13" s="53" t="s">
        <v>125</v>
      </c>
      <c r="I13" s="8">
        <v>2.654017857142857</v>
      </c>
      <c r="J13" s="54">
        <v>0.6420117829637442</v>
      </c>
    </row>
    <row r="14">
      <c r="A14" s="59" t="s">
        <v>71</v>
      </c>
      <c r="B14" s="59" t="s">
        <v>109</v>
      </c>
      <c r="C14" s="60">
        <v>3.3906</v>
      </c>
      <c r="D14" s="60">
        <v>0.5524</v>
      </c>
      <c r="E14" s="60">
        <v>2.0</v>
      </c>
      <c r="F14" s="61"/>
      <c r="H14" s="53" t="s">
        <v>126</v>
      </c>
      <c r="I14" s="8">
        <v>2.9791666666666665</v>
      </c>
      <c r="J14" s="54">
        <v>0.7072908996068498</v>
      </c>
    </row>
    <row r="15">
      <c r="A15" s="59" t="s">
        <v>71</v>
      </c>
      <c r="B15" s="59" t="s">
        <v>10</v>
      </c>
      <c r="C15" s="60">
        <v>3.3438</v>
      </c>
      <c r="D15" s="60">
        <v>0.2965</v>
      </c>
      <c r="E15" s="60">
        <v>4.0</v>
      </c>
      <c r="F15" s="61"/>
      <c r="H15" s="53" t="s">
        <v>127</v>
      </c>
      <c r="I15" s="8">
        <v>2.871875</v>
      </c>
      <c r="J15" s="54">
        <v>0.6071138604770389</v>
      </c>
    </row>
    <row r="16">
      <c r="A16" s="59" t="s">
        <v>71</v>
      </c>
      <c r="B16" s="59" t="s">
        <v>49</v>
      </c>
      <c r="C16" s="60">
        <v>3.1188</v>
      </c>
      <c r="D16" s="60">
        <v>0.6922</v>
      </c>
      <c r="E16" s="60">
        <v>5.0</v>
      </c>
      <c r="F16" s="61"/>
      <c r="H16" s="53" t="s">
        <v>128</v>
      </c>
      <c r="I16" s="8">
        <v>3.21875</v>
      </c>
      <c r="J16" s="54">
        <v>0.3928064090617667</v>
      </c>
    </row>
    <row r="17">
      <c r="A17" s="59" t="s">
        <v>71</v>
      </c>
      <c r="B17" s="59" t="s">
        <v>92</v>
      </c>
      <c r="C17" s="60">
        <v>3.0625</v>
      </c>
      <c r="D17" s="62"/>
      <c r="E17" s="60">
        <v>1.0</v>
      </c>
      <c r="F17" s="59" t="s">
        <v>122</v>
      </c>
      <c r="H17" s="63" t="s">
        <v>129</v>
      </c>
      <c r="I17" s="64">
        <v>2.8348214285714284</v>
      </c>
      <c r="J17" s="65">
        <v>0.493352386617266</v>
      </c>
    </row>
    <row r="18">
      <c r="A18" s="59" t="s">
        <v>71</v>
      </c>
      <c r="B18" s="59" t="s">
        <v>96</v>
      </c>
      <c r="C18" s="60">
        <v>2.9375</v>
      </c>
      <c r="D18" s="62"/>
      <c r="E18" s="60">
        <v>1.0</v>
      </c>
      <c r="F18" s="59" t="s">
        <v>122</v>
      </c>
    </row>
    <row r="19">
      <c r="A19" s="59" t="s">
        <v>71</v>
      </c>
      <c r="B19" s="59" t="s">
        <v>70</v>
      </c>
      <c r="C19" s="60">
        <v>2.8203</v>
      </c>
      <c r="D19" s="60">
        <v>0.8499</v>
      </c>
      <c r="E19" s="60">
        <v>4.0</v>
      </c>
      <c r="F19" s="61"/>
    </row>
    <row r="20">
      <c r="A20" s="59" t="s">
        <v>71</v>
      </c>
      <c r="B20" s="59" t="s">
        <v>114</v>
      </c>
      <c r="C20" s="60">
        <v>2.625</v>
      </c>
      <c r="D20" s="62"/>
      <c r="E20" s="60">
        <v>1.0</v>
      </c>
      <c r="F20" s="59" t="s">
        <v>122</v>
      </c>
    </row>
    <row r="21">
      <c r="A21" s="59" t="s">
        <v>71</v>
      </c>
      <c r="B21" s="59" t="s">
        <v>100</v>
      </c>
      <c r="C21" s="60">
        <v>2.5938</v>
      </c>
      <c r="D21" s="60">
        <v>0.2513</v>
      </c>
      <c r="E21" s="60">
        <v>4.0</v>
      </c>
      <c r="F21" s="61"/>
    </row>
    <row r="22">
      <c r="A22" s="59" t="s">
        <v>71</v>
      </c>
      <c r="B22" s="59" t="s">
        <v>35</v>
      </c>
      <c r="C22" s="60">
        <v>2.1719</v>
      </c>
      <c r="D22" s="60">
        <v>0.5524</v>
      </c>
      <c r="E22" s="60">
        <v>2.0</v>
      </c>
      <c r="F22" s="61"/>
    </row>
    <row r="23">
      <c r="A23" s="66"/>
      <c r="B23" s="66"/>
      <c r="C23" s="67"/>
      <c r="D23" s="67"/>
      <c r="E23" s="67"/>
      <c r="F23" s="68"/>
      <c r="G23" s="69"/>
    </row>
    <row r="24">
      <c r="A24" s="66"/>
      <c r="B24" s="66"/>
      <c r="C24" s="67"/>
      <c r="D24" s="67"/>
      <c r="E24" s="67"/>
      <c r="F24" s="68"/>
      <c r="G24" s="69"/>
    </row>
    <row r="25">
      <c r="A25" s="66"/>
      <c r="B25" s="66"/>
      <c r="C25" s="67"/>
      <c r="D25" s="67"/>
      <c r="E25" s="67"/>
      <c r="F25" s="68"/>
      <c r="G25" s="69"/>
    </row>
    <row r="26">
      <c r="A26" s="66"/>
      <c r="B26" s="66"/>
      <c r="C26" s="67"/>
      <c r="D26" s="67"/>
      <c r="E26" s="67"/>
      <c r="F26" s="68"/>
      <c r="G26" s="69"/>
    </row>
    <row r="27">
      <c r="A27" s="66"/>
      <c r="B27" s="66"/>
      <c r="C27" s="67"/>
      <c r="D27" s="67"/>
      <c r="E27" s="67"/>
      <c r="F27" s="68"/>
      <c r="G27" s="6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8.63"/>
    <col customWidth="1" min="3" max="3" width="5.75"/>
    <col customWidth="1" min="4" max="4" width="10.5"/>
    <col customWidth="1" min="5" max="5" width="10.63"/>
  </cols>
  <sheetData>
    <row r="1">
      <c r="A1" s="33" t="s">
        <v>53</v>
      </c>
      <c r="B1" s="33" t="s">
        <v>115</v>
      </c>
      <c r="C1" s="33" t="s">
        <v>130</v>
      </c>
      <c r="D1" s="33" t="s">
        <v>131</v>
      </c>
      <c r="E1" s="33" t="s">
        <v>132</v>
      </c>
    </row>
    <row r="2">
      <c r="A2" s="34" t="s">
        <v>62</v>
      </c>
      <c r="B2" s="35" t="s">
        <v>10</v>
      </c>
      <c r="C2" s="70">
        <v>9.0</v>
      </c>
      <c r="D2" s="70">
        <v>27.0</v>
      </c>
      <c r="E2" s="71">
        <v>0.333</v>
      </c>
    </row>
    <row r="3">
      <c r="A3" s="39" t="s">
        <v>62</v>
      </c>
      <c r="B3" s="39" t="s">
        <v>35</v>
      </c>
      <c r="C3" s="40">
        <v>9.0</v>
      </c>
      <c r="D3" s="40">
        <v>27.0</v>
      </c>
      <c r="E3" s="72">
        <v>0.333</v>
      </c>
    </row>
    <row r="4">
      <c r="A4" s="39" t="s">
        <v>62</v>
      </c>
      <c r="B4" s="39" t="s">
        <v>100</v>
      </c>
      <c r="C4" s="40">
        <v>3.0</v>
      </c>
      <c r="D4" s="40">
        <v>27.0</v>
      </c>
      <c r="E4" s="72">
        <v>0.111</v>
      </c>
    </row>
    <row r="5">
      <c r="A5" s="39" t="s">
        <v>62</v>
      </c>
      <c r="B5" s="39" t="s">
        <v>70</v>
      </c>
      <c r="C5" s="40">
        <v>2.0</v>
      </c>
      <c r="D5" s="40">
        <v>27.0</v>
      </c>
      <c r="E5" s="72">
        <v>0.074</v>
      </c>
    </row>
    <row r="6">
      <c r="A6" s="39" t="s">
        <v>62</v>
      </c>
      <c r="B6" s="39" t="s">
        <v>89</v>
      </c>
      <c r="C6" s="40">
        <v>2.0</v>
      </c>
      <c r="D6" s="40">
        <v>27.0</v>
      </c>
      <c r="E6" s="72">
        <v>0.074</v>
      </c>
    </row>
    <row r="7">
      <c r="A7" s="39" t="s">
        <v>62</v>
      </c>
      <c r="B7" s="39" t="s">
        <v>121</v>
      </c>
      <c r="C7" s="40">
        <v>1.0</v>
      </c>
      <c r="D7" s="40">
        <v>27.0</v>
      </c>
      <c r="E7" s="72">
        <v>0.037</v>
      </c>
    </row>
    <row r="8">
      <c r="A8" s="39" t="s">
        <v>62</v>
      </c>
      <c r="B8" s="39" t="s">
        <v>49</v>
      </c>
      <c r="C8" s="40">
        <v>1.0</v>
      </c>
      <c r="D8" s="40">
        <v>27.0</v>
      </c>
      <c r="E8" s="72">
        <v>0.037</v>
      </c>
    </row>
    <row r="9">
      <c r="A9" s="43" t="s">
        <v>66</v>
      </c>
      <c r="B9" s="44" t="s">
        <v>10</v>
      </c>
      <c r="C9" s="73">
        <v>19.0</v>
      </c>
      <c r="D9" s="73">
        <v>27.0</v>
      </c>
      <c r="E9" s="74">
        <v>0.704</v>
      </c>
    </row>
    <row r="10">
      <c r="A10" s="47" t="s">
        <v>66</v>
      </c>
      <c r="B10" s="47" t="s">
        <v>70</v>
      </c>
      <c r="C10" s="48">
        <v>4.0</v>
      </c>
      <c r="D10" s="48">
        <v>27.0</v>
      </c>
      <c r="E10" s="75">
        <v>0.148</v>
      </c>
    </row>
    <row r="11">
      <c r="A11" s="47" t="s">
        <v>66</v>
      </c>
      <c r="B11" s="47" t="s">
        <v>35</v>
      </c>
      <c r="C11" s="48">
        <v>2.0</v>
      </c>
      <c r="D11" s="48">
        <v>27.0</v>
      </c>
      <c r="E11" s="75">
        <v>0.074</v>
      </c>
    </row>
    <row r="12">
      <c r="A12" s="47" t="s">
        <v>66</v>
      </c>
      <c r="B12" s="47" t="s">
        <v>109</v>
      </c>
      <c r="C12" s="48">
        <v>2.0</v>
      </c>
      <c r="D12" s="48">
        <v>27.0</v>
      </c>
      <c r="E12" s="75">
        <v>0.074</v>
      </c>
    </row>
    <row r="13">
      <c r="A13" s="55" t="s">
        <v>71</v>
      </c>
      <c r="B13" s="56" t="s">
        <v>49</v>
      </c>
      <c r="C13" s="76">
        <v>5.0</v>
      </c>
      <c r="D13" s="76">
        <v>25.0</v>
      </c>
      <c r="E13" s="77">
        <v>0.2</v>
      </c>
    </row>
    <row r="14">
      <c r="A14" s="59" t="s">
        <v>71</v>
      </c>
      <c r="B14" s="59" t="s">
        <v>10</v>
      </c>
      <c r="C14" s="60">
        <v>4.0</v>
      </c>
      <c r="D14" s="60">
        <v>25.0</v>
      </c>
      <c r="E14" s="78">
        <v>0.16</v>
      </c>
    </row>
    <row r="15">
      <c r="A15" s="59" t="s">
        <v>71</v>
      </c>
      <c r="B15" s="59" t="s">
        <v>100</v>
      </c>
      <c r="C15" s="60">
        <v>4.0</v>
      </c>
      <c r="D15" s="60">
        <v>25.0</v>
      </c>
      <c r="E15" s="78">
        <v>0.16</v>
      </c>
    </row>
    <row r="16">
      <c r="A16" s="59" t="s">
        <v>71</v>
      </c>
      <c r="B16" s="59" t="s">
        <v>70</v>
      </c>
      <c r="C16" s="60">
        <v>4.0</v>
      </c>
      <c r="D16" s="60">
        <v>25.0</v>
      </c>
      <c r="E16" s="78">
        <v>0.16</v>
      </c>
    </row>
    <row r="17">
      <c r="A17" s="59" t="s">
        <v>71</v>
      </c>
      <c r="B17" s="59" t="s">
        <v>35</v>
      </c>
      <c r="C17" s="60">
        <v>2.0</v>
      </c>
      <c r="D17" s="60">
        <v>25.0</v>
      </c>
      <c r="E17" s="78">
        <v>0.08</v>
      </c>
    </row>
    <row r="18">
      <c r="A18" s="59" t="s">
        <v>71</v>
      </c>
      <c r="B18" s="59" t="s">
        <v>109</v>
      </c>
      <c r="C18" s="60">
        <v>2.0</v>
      </c>
      <c r="D18" s="60">
        <v>25.0</v>
      </c>
      <c r="E18" s="78">
        <v>0.08</v>
      </c>
    </row>
    <row r="19">
      <c r="A19" s="59" t="s">
        <v>71</v>
      </c>
      <c r="B19" s="59" t="s">
        <v>45</v>
      </c>
      <c r="C19" s="60">
        <v>1.0</v>
      </c>
      <c r="D19" s="60">
        <v>25.0</v>
      </c>
      <c r="E19" s="78">
        <v>0.04</v>
      </c>
    </row>
    <row r="20">
      <c r="A20" s="59" t="s">
        <v>71</v>
      </c>
      <c r="B20" s="59" t="s">
        <v>92</v>
      </c>
      <c r="C20" s="60">
        <v>1.0</v>
      </c>
      <c r="D20" s="60">
        <v>25.0</v>
      </c>
      <c r="E20" s="78">
        <v>0.04</v>
      </c>
    </row>
    <row r="21">
      <c r="A21" s="59" t="s">
        <v>71</v>
      </c>
      <c r="B21" s="59" t="s">
        <v>96</v>
      </c>
      <c r="C21" s="60">
        <v>1.0</v>
      </c>
      <c r="D21" s="60">
        <v>25.0</v>
      </c>
      <c r="E21" s="78">
        <v>0.04</v>
      </c>
    </row>
    <row r="22">
      <c r="A22" s="59" t="s">
        <v>71</v>
      </c>
      <c r="B22" s="59" t="s">
        <v>114</v>
      </c>
      <c r="C22" s="60">
        <v>1.0</v>
      </c>
      <c r="D22" s="60">
        <v>25.0</v>
      </c>
      <c r="E22" s="78">
        <v>0.04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25"/>
    <col customWidth="1" min="3" max="3" width="18.63"/>
    <col customWidth="1" min="4" max="4" width="14.5"/>
    <col customWidth="1" min="5" max="5" width="15.38"/>
  </cols>
  <sheetData>
    <row r="1">
      <c r="A1" s="79" t="s">
        <v>133</v>
      </c>
    </row>
    <row r="2">
      <c r="A2" s="33" t="s">
        <v>53</v>
      </c>
      <c r="B2" s="33" t="s">
        <v>134</v>
      </c>
      <c r="C2" s="33" t="s">
        <v>115</v>
      </c>
      <c r="D2" s="33" t="s">
        <v>116</v>
      </c>
      <c r="E2" s="33" t="s">
        <v>135</v>
      </c>
    </row>
    <row r="3">
      <c r="A3" s="80" t="s">
        <v>71</v>
      </c>
      <c r="B3" s="81" t="s">
        <v>11</v>
      </c>
      <c r="C3" s="80" t="s">
        <v>12</v>
      </c>
      <c r="D3" s="82">
        <v>3.9375</v>
      </c>
      <c r="E3" s="80" t="s">
        <v>28</v>
      </c>
    </row>
    <row r="4">
      <c r="A4" s="80" t="s">
        <v>71</v>
      </c>
      <c r="B4" s="81" t="s">
        <v>41</v>
      </c>
      <c r="C4" s="80" t="s">
        <v>35</v>
      </c>
      <c r="D4" s="82">
        <v>3.0625</v>
      </c>
      <c r="E4" s="80" t="s">
        <v>28</v>
      </c>
    </row>
    <row r="5">
      <c r="A5" s="83" t="s">
        <v>71</v>
      </c>
      <c r="B5" s="84" t="s">
        <v>48</v>
      </c>
      <c r="C5" s="83" t="s">
        <v>49</v>
      </c>
      <c r="D5" s="85">
        <v>3.0938</v>
      </c>
      <c r="E5" s="83" t="s">
        <v>23</v>
      </c>
    </row>
    <row r="6">
      <c r="A6" s="83" t="s">
        <v>71</v>
      </c>
      <c r="B6" s="84" t="s">
        <v>52</v>
      </c>
      <c r="C6" s="83" t="s">
        <v>49</v>
      </c>
      <c r="D6" s="85">
        <v>4.0625</v>
      </c>
      <c r="E6" s="83" t="s">
        <v>23</v>
      </c>
    </row>
    <row r="7">
      <c r="A7" s="83" t="s">
        <v>71</v>
      </c>
      <c r="B7" s="84" t="s">
        <v>57</v>
      </c>
      <c r="C7" s="83" t="s">
        <v>49</v>
      </c>
      <c r="D7" s="85">
        <v>2.2188</v>
      </c>
      <c r="E7" s="83" t="s">
        <v>23</v>
      </c>
    </row>
    <row r="8">
      <c r="A8" s="83" t="s">
        <v>71</v>
      </c>
      <c r="B8" s="84" t="s">
        <v>65</v>
      </c>
      <c r="C8" s="83" t="s">
        <v>49</v>
      </c>
      <c r="D8" s="85">
        <v>3.4375</v>
      </c>
      <c r="E8" s="83" t="s">
        <v>23</v>
      </c>
    </row>
    <row r="9">
      <c r="A9" s="83" t="s">
        <v>71</v>
      </c>
      <c r="B9" s="84" t="s">
        <v>69</v>
      </c>
      <c r="C9" s="83" t="s">
        <v>70</v>
      </c>
      <c r="D9" s="85">
        <v>1.9688</v>
      </c>
      <c r="E9" s="83" t="s">
        <v>23</v>
      </c>
    </row>
    <row r="10">
      <c r="A10" s="83" t="s">
        <v>71</v>
      </c>
      <c r="B10" s="84" t="s">
        <v>83</v>
      </c>
      <c r="C10" s="83" t="s">
        <v>109</v>
      </c>
      <c r="D10" s="85">
        <v>3.0</v>
      </c>
      <c r="E10" s="83" t="s">
        <v>23</v>
      </c>
    </row>
    <row r="11">
      <c r="A11" s="83" t="s">
        <v>71</v>
      </c>
      <c r="B11" s="84" t="s">
        <v>91</v>
      </c>
      <c r="C11" s="83" t="s">
        <v>92</v>
      </c>
      <c r="D11" s="85">
        <v>3.0625</v>
      </c>
      <c r="E11" s="83" t="s">
        <v>23</v>
      </c>
    </row>
    <row r="12">
      <c r="A12" s="83" t="s">
        <v>71</v>
      </c>
      <c r="B12" s="84" t="s">
        <v>95</v>
      </c>
      <c r="C12" s="83" t="s">
        <v>96</v>
      </c>
      <c r="D12" s="85">
        <v>2.9375</v>
      </c>
      <c r="E12" s="83" t="s">
        <v>23</v>
      </c>
    </row>
    <row r="13">
      <c r="A13" s="83" t="s">
        <v>66</v>
      </c>
      <c r="B13" s="84" t="s">
        <v>105</v>
      </c>
      <c r="C13" s="83" t="s">
        <v>70</v>
      </c>
      <c r="D13" s="85">
        <v>3.2813</v>
      </c>
      <c r="E13" s="83" t="s">
        <v>23</v>
      </c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2" width="17.25"/>
    <col customWidth="1" min="3" max="3" width="18.0"/>
    <col customWidth="1" min="4" max="4" width="56.25"/>
    <col customWidth="1" min="5" max="5" width="9.38"/>
    <col customWidth="1" min="6" max="6" width="26.38"/>
    <col customWidth="1" min="7" max="7" width="15.13"/>
    <col customWidth="1" min="8" max="8" width="56.88"/>
  </cols>
  <sheetData>
    <row r="1">
      <c r="A1" s="86" t="s">
        <v>136</v>
      </c>
      <c r="B1" s="87"/>
      <c r="C1" s="87"/>
      <c r="D1" s="87"/>
      <c r="E1" s="87"/>
      <c r="F1" s="87"/>
      <c r="G1" s="87"/>
      <c r="H1" s="88"/>
    </row>
    <row r="2">
      <c r="A2" s="89" t="s">
        <v>137</v>
      </c>
      <c r="B2" s="89" t="s">
        <v>138</v>
      </c>
      <c r="C2" s="89" t="s">
        <v>139</v>
      </c>
      <c r="D2" s="89" t="s">
        <v>140</v>
      </c>
      <c r="E2" s="90"/>
      <c r="F2" s="90"/>
      <c r="G2" s="90"/>
      <c r="H2" s="90"/>
    </row>
    <row r="3">
      <c r="A3" s="91" t="s">
        <v>141</v>
      </c>
      <c r="B3" s="92">
        <v>133.0</v>
      </c>
      <c r="C3" s="92" t="s">
        <v>142</v>
      </c>
      <c r="D3" s="91" t="s">
        <v>143</v>
      </c>
      <c r="E3" s="90"/>
      <c r="F3" s="90"/>
      <c r="G3" s="90"/>
      <c r="H3" s="90"/>
    </row>
    <row r="4">
      <c r="A4" s="93" t="s">
        <v>129</v>
      </c>
      <c r="B4" s="94">
        <v>133.0</v>
      </c>
      <c r="C4" s="94" t="s">
        <v>142</v>
      </c>
      <c r="D4" s="93" t="s">
        <v>144</v>
      </c>
      <c r="E4" s="90"/>
      <c r="F4" s="90"/>
      <c r="G4" s="90"/>
      <c r="H4" s="90"/>
    </row>
    <row r="5">
      <c r="A5" s="91" t="s">
        <v>145</v>
      </c>
      <c r="B5" s="92">
        <v>120.0</v>
      </c>
      <c r="C5" s="92" t="s">
        <v>146</v>
      </c>
      <c r="D5" s="91" t="s">
        <v>147</v>
      </c>
      <c r="E5" s="90"/>
      <c r="F5" s="90"/>
      <c r="G5" s="90"/>
      <c r="H5" s="90"/>
    </row>
    <row r="6">
      <c r="A6" s="93" t="s">
        <v>148</v>
      </c>
      <c r="B6" s="94">
        <v>59.0</v>
      </c>
      <c r="C6" s="94" t="s">
        <v>149</v>
      </c>
      <c r="D6" s="93" t="s">
        <v>150</v>
      </c>
      <c r="E6" s="90"/>
      <c r="F6" s="90"/>
      <c r="G6" s="90"/>
      <c r="H6" s="90"/>
    </row>
    <row r="7">
      <c r="A7" s="91" t="s">
        <v>151</v>
      </c>
      <c r="B7" s="92">
        <v>53.0</v>
      </c>
      <c r="C7" s="92" t="s">
        <v>152</v>
      </c>
      <c r="D7" s="91" t="s">
        <v>153</v>
      </c>
      <c r="E7" s="90"/>
      <c r="F7" s="90"/>
      <c r="G7" s="90"/>
      <c r="H7" s="90"/>
    </row>
    <row r="8">
      <c r="A8" s="93" t="s">
        <v>154</v>
      </c>
      <c r="B8" s="94">
        <v>43.0</v>
      </c>
      <c r="C8" s="94" t="s">
        <v>155</v>
      </c>
      <c r="D8" s="93" t="s">
        <v>156</v>
      </c>
      <c r="E8" s="90"/>
      <c r="F8" s="90"/>
      <c r="G8" s="90"/>
      <c r="H8" s="90"/>
    </row>
    <row r="9">
      <c r="A9" s="91" t="s">
        <v>157</v>
      </c>
      <c r="B9" s="92">
        <v>33.0</v>
      </c>
      <c r="C9" s="92" t="s">
        <v>158</v>
      </c>
      <c r="D9" s="91" t="s">
        <v>159</v>
      </c>
      <c r="E9" s="90"/>
      <c r="F9" s="90"/>
      <c r="G9" s="90"/>
      <c r="H9" s="90"/>
    </row>
    <row r="10">
      <c r="A10" s="93" t="s">
        <v>160</v>
      </c>
      <c r="B10" s="94">
        <v>28.0</v>
      </c>
      <c r="C10" s="94" t="s">
        <v>161</v>
      </c>
      <c r="D10" s="93" t="s">
        <v>162</v>
      </c>
      <c r="E10" s="90"/>
      <c r="F10" s="90"/>
      <c r="G10" s="90"/>
      <c r="H10" s="90"/>
    </row>
    <row r="11">
      <c r="A11" s="91" t="s">
        <v>163</v>
      </c>
      <c r="B11" s="92">
        <v>18.0</v>
      </c>
      <c r="C11" s="92" t="s">
        <v>164</v>
      </c>
      <c r="D11" s="91" t="s">
        <v>165</v>
      </c>
      <c r="E11" s="90"/>
      <c r="F11" s="90"/>
      <c r="G11" s="90"/>
      <c r="H11" s="90"/>
    </row>
    <row r="13">
      <c r="A13" s="86" t="s">
        <v>166</v>
      </c>
      <c r="B13" s="87"/>
      <c r="C13" s="87"/>
      <c r="D13" s="87"/>
      <c r="E13" s="87"/>
      <c r="F13" s="87"/>
      <c r="G13" s="87"/>
      <c r="H13" s="88"/>
    </row>
    <row r="14">
      <c r="A14" s="89" t="s">
        <v>167</v>
      </c>
      <c r="B14" s="89" t="s">
        <v>168</v>
      </c>
      <c r="C14" s="89" t="s">
        <v>169</v>
      </c>
      <c r="D14" s="90"/>
      <c r="E14" s="90"/>
      <c r="F14" s="90"/>
      <c r="G14" s="90"/>
      <c r="H14" s="90"/>
    </row>
    <row r="15">
      <c r="A15" s="95" t="s">
        <v>170</v>
      </c>
      <c r="B15" s="96" t="s">
        <v>171</v>
      </c>
      <c r="C15" s="92" t="s">
        <v>172</v>
      </c>
      <c r="D15" s="90"/>
      <c r="E15" s="90"/>
      <c r="F15" s="90"/>
      <c r="G15" s="90"/>
      <c r="H15" s="90"/>
    </row>
    <row r="16">
      <c r="A16" s="97"/>
      <c r="B16" s="98" t="s">
        <v>173</v>
      </c>
      <c r="C16" s="94" t="s">
        <v>174</v>
      </c>
      <c r="D16" s="90"/>
      <c r="E16" s="90"/>
      <c r="F16" s="90"/>
      <c r="G16" s="90"/>
      <c r="H16" s="90"/>
    </row>
    <row r="17">
      <c r="A17" s="97"/>
      <c r="B17" s="98" t="s">
        <v>175</v>
      </c>
      <c r="C17" s="94" t="s">
        <v>176</v>
      </c>
      <c r="D17" s="90"/>
      <c r="E17" s="90"/>
      <c r="F17" s="90"/>
      <c r="G17" s="90"/>
      <c r="H17" s="90"/>
    </row>
    <row r="18">
      <c r="A18" s="97"/>
      <c r="B18" s="98" t="s">
        <v>177</v>
      </c>
      <c r="C18" s="94" t="s">
        <v>176</v>
      </c>
      <c r="D18" s="90"/>
      <c r="E18" s="90"/>
      <c r="F18" s="90"/>
      <c r="G18" s="90"/>
      <c r="H18" s="90"/>
    </row>
    <row r="19">
      <c r="A19" s="97"/>
      <c r="B19" s="94" t="s">
        <v>178</v>
      </c>
      <c r="C19" s="94" t="s">
        <v>172</v>
      </c>
      <c r="D19" s="90"/>
      <c r="E19" s="90"/>
      <c r="F19" s="90"/>
      <c r="G19" s="90"/>
      <c r="H19" s="90"/>
    </row>
    <row r="20">
      <c r="A20" s="99" t="s">
        <v>179</v>
      </c>
      <c r="B20" s="100" t="s">
        <v>171</v>
      </c>
      <c r="C20" s="101" t="s">
        <v>180</v>
      </c>
      <c r="D20" s="90"/>
      <c r="E20" s="90"/>
      <c r="F20" s="90"/>
      <c r="G20" s="90"/>
      <c r="H20" s="90"/>
    </row>
    <row r="21">
      <c r="A21" s="102"/>
      <c r="B21" s="103" t="s">
        <v>181</v>
      </c>
      <c r="C21" s="104" t="s">
        <v>182</v>
      </c>
      <c r="D21" s="90"/>
      <c r="E21" s="90"/>
      <c r="F21" s="90"/>
      <c r="G21" s="90"/>
      <c r="H21" s="90"/>
    </row>
    <row r="22">
      <c r="A22" s="102"/>
      <c r="B22" s="103" t="s">
        <v>183</v>
      </c>
      <c r="C22" s="104" t="s">
        <v>184</v>
      </c>
      <c r="D22" s="90"/>
      <c r="E22" s="90"/>
      <c r="F22" s="90"/>
      <c r="G22" s="90"/>
      <c r="H22" s="90"/>
    </row>
    <row r="23">
      <c r="A23" s="102"/>
      <c r="B23" s="104" t="s">
        <v>178</v>
      </c>
      <c r="C23" s="104" t="s">
        <v>185</v>
      </c>
      <c r="D23" s="90"/>
      <c r="E23" s="90"/>
      <c r="F23" s="90"/>
      <c r="G23" s="90"/>
      <c r="H23" s="90"/>
    </row>
    <row r="24">
      <c r="A24" s="105" t="s">
        <v>186</v>
      </c>
      <c r="B24" s="106" t="s">
        <v>187</v>
      </c>
      <c r="C24" s="107" t="s">
        <v>188</v>
      </c>
      <c r="D24" s="90"/>
      <c r="E24" s="90"/>
      <c r="F24" s="90"/>
      <c r="G24" s="90"/>
      <c r="H24" s="90"/>
    </row>
    <row r="25">
      <c r="A25" s="108"/>
      <c r="B25" s="109" t="s">
        <v>189</v>
      </c>
      <c r="C25" s="110" t="s">
        <v>190</v>
      </c>
      <c r="D25" s="90"/>
      <c r="E25" s="90"/>
      <c r="F25" s="90"/>
      <c r="G25" s="90"/>
      <c r="H25" s="90"/>
    </row>
    <row r="26">
      <c r="A26" s="108"/>
      <c r="B26" s="109" t="s">
        <v>191</v>
      </c>
      <c r="C26" s="110" t="s">
        <v>192</v>
      </c>
      <c r="D26" s="90"/>
      <c r="E26" s="90"/>
      <c r="F26" s="90"/>
      <c r="G26" s="90"/>
      <c r="H26" s="90"/>
    </row>
    <row r="27">
      <c r="A27" s="111" t="s">
        <v>193</v>
      </c>
      <c r="B27" s="112" t="s">
        <v>194</v>
      </c>
      <c r="C27" s="113" t="s">
        <v>195</v>
      </c>
      <c r="D27" s="90"/>
      <c r="E27" s="90"/>
      <c r="F27" s="90"/>
      <c r="G27" s="90"/>
      <c r="H27" s="90"/>
    </row>
    <row r="28">
      <c r="A28" s="114"/>
      <c r="B28" s="115" t="s">
        <v>196</v>
      </c>
      <c r="C28" s="116" t="s">
        <v>197</v>
      </c>
      <c r="D28" s="90"/>
      <c r="E28" s="90"/>
      <c r="F28" s="90"/>
      <c r="G28" s="90"/>
      <c r="H28" s="90"/>
    </row>
    <row r="29">
      <c r="A29" s="114"/>
      <c r="B29" s="115" t="s">
        <v>198</v>
      </c>
      <c r="C29" s="116" t="s">
        <v>199</v>
      </c>
      <c r="D29" s="90"/>
      <c r="E29" s="90"/>
      <c r="F29" s="90"/>
      <c r="G29" s="90"/>
      <c r="H29" s="90"/>
    </row>
    <row r="30">
      <c r="A30" s="114"/>
      <c r="B30" s="115" t="s">
        <v>200</v>
      </c>
      <c r="C30" s="116" t="s">
        <v>201</v>
      </c>
      <c r="D30" s="90"/>
      <c r="E30" s="90"/>
      <c r="F30" s="90"/>
      <c r="G30" s="90"/>
      <c r="H30" s="90"/>
    </row>
    <row r="31">
      <c r="A31" s="114"/>
      <c r="B31" s="116" t="s">
        <v>178</v>
      </c>
      <c r="C31" s="116" t="s">
        <v>202</v>
      </c>
      <c r="D31" s="90"/>
      <c r="E31" s="90"/>
      <c r="F31" s="90"/>
      <c r="G31" s="90"/>
      <c r="H31" s="90"/>
    </row>
    <row r="34">
      <c r="A34" s="117" t="s">
        <v>203</v>
      </c>
      <c r="B34" s="118"/>
      <c r="C34" s="118"/>
      <c r="D34" s="118"/>
      <c r="E34" s="118"/>
      <c r="F34" s="118"/>
      <c r="G34" s="118"/>
      <c r="H34" s="118"/>
    </row>
    <row r="35">
      <c r="A35" s="119" t="s">
        <v>168</v>
      </c>
      <c r="B35" s="119" t="s">
        <v>204</v>
      </c>
      <c r="C35" s="119" t="s">
        <v>205</v>
      </c>
      <c r="D35" s="119" t="s">
        <v>62</v>
      </c>
      <c r="E35" s="119" t="s">
        <v>66</v>
      </c>
      <c r="F35" s="119" t="s">
        <v>71</v>
      </c>
      <c r="G35" s="90"/>
      <c r="H35" s="90"/>
    </row>
    <row r="36">
      <c r="A36" s="120" t="s">
        <v>171</v>
      </c>
      <c r="B36" s="120" t="s">
        <v>206</v>
      </c>
      <c r="C36" s="121" t="s">
        <v>207</v>
      </c>
      <c r="D36" s="110" t="s">
        <v>208</v>
      </c>
      <c r="E36" s="122" t="s">
        <v>209</v>
      </c>
      <c r="F36" s="122" t="s">
        <v>209</v>
      </c>
      <c r="G36" s="90"/>
      <c r="H36" s="90"/>
    </row>
    <row r="37">
      <c r="A37" s="123" t="s">
        <v>181</v>
      </c>
      <c r="B37" s="123" t="s">
        <v>210</v>
      </c>
      <c r="C37" s="124" t="s">
        <v>182</v>
      </c>
      <c r="D37" s="122" t="s">
        <v>209</v>
      </c>
      <c r="E37" s="122" t="s">
        <v>209</v>
      </c>
      <c r="F37" s="122" t="s">
        <v>209</v>
      </c>
      <c r="G37" s="90"/>
      <c r="H37" s="90"/>
    </row>
    <row r="38">
      <c r="A38" s="120" t="s">
        <v>183</v>
      </c>
      <c r="B38" s="120" t="s">
        <v>210</v>
      </c>
      <c r="C38" s="121" t="s">
        <v>184</v>
      </c>
      <c r="D38" s="122" t="s">
        <v>209</v>
      </c>
      <c r="E38" s="122" t="s">
        <v>209</v>
      </c>
      <c r="F38" s="122" t="s">
        <v>209</v>
      </c>
      <c r="G38" s="90"/>
      <c r="H38" s="90"/>
    </row>
    <row r="39">
      <c r="A39" s="123" t="s">
        <v>194</v>
      </c>
      <c r="B39" s="123" t="s">
        <v>211</v>
      </c>
      <c r="C39" s="124" t="s">
        <v>195</v>
      </c>
      <c r="D39" s="98" t="s">
        <v>212</v>
      </c>
      <c r="E39" s="98" t="s">
        <v>212</v>
      </c>
      <c r="F39" s="98" t="s">
        <v>212</v>
      </c>
      <c r="G39" s="90"/>
      <c r="H39" s="90"/>
    </row>
    <row r="40">
      <c r="A40" s="120" t="s">
        <v>196</v>
      </c>
      <c r="B40" s="120" t="s">
        <v>211</v>
      </c>
      <c r="C40" s="121" t="s">
        <v>197</v>
      </c>
      <c r="D40" s="98" t="s">
        <v>212</v>
      </c>
      <c r="E40" s="98" t="s">
        <v>212</v>
      </c>
      <c r="F40" s="98" t="s">
        <v>212</v>
      </c>
      <c r="G40" s="90"/>
      <c r="H40" s="90"/>
    </row>
    <row r="41">
      <c r="A41" s="123" t="s">
        <v>198</v>
      </c>
      <c r="B41" s="123" t="s">
        <v>211</v>
      </c>
      <c r="C41" s="124" t="s">
        <v>199</v>
      </c>
      <c r="D41" s="110" t="s">
        <v>208</v>
      </c>
      <c r="E41" s="98" t="s">
        <v>212</v>
      </c>
      <c r="F41" s="110" t="s">
        <v>208</v>
      </c>
      <c r="G41" s="90"/>
      <c r="H41" s="90"/>
    </row>
    <row r="42">
      <c r="A42" s="120" t="s">
        <v>200</v>
      </c>
      <c r="B42" s="120" t="s">
        <v>211</v>
      </c>
      <c r="C42" s="121" t="s">
        <v>201</v>
      </c>
      <c r="D42" s="98" t="s">
        <v>212</v>
      </c>
      <c r="E42" s="98" t="s">
        <v>212</v>
      </c>
      <c r="F42" s="98" t="s">
        <v>212</v>
      </c>
      <c r="G42" s="90"/>
      <c r="H42" s="90"/>
    </row>
    <row r="43">
      <c r="A43" s="123" t="s">
        <v>187</v>
      </c>
      <c r="B43" s="123" t="s">
        <v>213</v>
      </c>
      <c r="C43" s="124" t="s">
        <v>188</v>
      </c>
      <c r="D43" s="122" t="s">
        <v>209</v>
      </c>
      <c r="E43" s="122" t="s">
        <v>209</v>
      </c>
      <c r="F43" s="122" t="s">
        <v>209</v>
      </c>
      <c r="G43" s="90"/>
      <c r="H43" s="90"/>
    </row>
    <row r="44">
      <c r="A44" s="120" t="s">
        <v>189</v>
      </c>
      <c r="B44" s="120" t="s">
        <v>213</v>
      </c>
      <c r="C44" s="121" t="s">
        <v>190</v>
      </c>
      <c r="D44" s="122" t="s">
        <v>209</v>
      </c>
      <c r="E44" s="122" t="s">
        <v>209</v>
      </c>
      <c r="F44" s="110" t="s">
        <v>214</v>
      </c>
      <c r="G44" s="90"/>
      <c r="H44" s="90"/>
    </row>
    <row r="45">
      <c r="A45" s="123" t="s">
        <v>173</v>
      </c>
      <c r="B45" s="123" t="s">
        <v>215</v>
      </c>
      <c r="C45" s="124" t="s">
        <v>174</v>
      </c>
      <c r="D45" s="122" t="s">
        <v>209</v>
      </c>
      <c r="E45" s="122" t="s">
        <v>209</v>
      </c>
      <c r="F45" s="122" t="s">
        <v>209</v>
      </c>
      <c r="G45" s="90"/>
      <c r="H45" s="90"/>
    </row>
    <row r="47">
      <c r="A47" s="117" t="s">
        <v>216</v>
      </c>
      <c r="B47" s="118"/>
      <c r="C47" s="118"/>
      <c r="D47" s="118"/>
      <c r="E47" s="118"/>
      <c r="F47" s="118"/>
      <c r="G47" s="118"/>
      <c r="H47" s="118"/>
    </row>
    <row r="48">
      <c r="A48" s="125" t="s">
        <v>53</v>
      </c>
      <c r="B48" s="125" t="s">
        <v>131</v>
      </c>
      <c r="C48" s="125" t="s">
        <v>217</v>
      </c>
      <c r="D48" s="125" t="s">
        <v>218</v>
      </c>
      <c r="E48" s="125" t="s">
        <v>219</v>
      </c>
      <c r="F48" s="125" t="s">
        <v>220</v>
      </c>
      <c r="G48" s="125" t="s">
        <v>221</v>
      </c>
      <c r="H48" s="125" t="s">
        <v>222</v>
      </c>
    </row>
    <row r="49">
      <c r="A49" s="99" t="s">
        <v>62</v>
      </c>
      <c r="B49" s="101">
        <v>27.0</v>
      </c>
      <c r="C49" s="101">
        <v>2.9</v>
      </c>
      <c r="D49" s="101">
        <v>1.48</v>
      </c>
      <c r="E49" s="101">
        <v>7.0</v>
      </c>
      <c r="F49" s="126" t="s">
        <v>223</v>
      </c>
      <c r="G49" s="109" t="s">
        <v>224</v>
      </c>
      <c r="H49" s="127" t="s">
        <v>225</v>
      </c>
    </row>
    <row r="50">
      <c r="A50" s="105" t="s">
        <v>66</v>
      </c>
      <c r="B50" s="107">
        <v>27.0</v>
      </c>
      <c r="C50" s="107">
        <v>2.56</v>
      </c>
      <c r="D50" s="107">
        <v>1.39</v>
      </c>
      <c r="E50" s="107">
        <v>4.0</v>
      </c>
      <c r="F50" s="128" t="s">
        <v>226</v>
      </c>
      <c r="G50" s="122" t="s">
        <v>227</v>
      </c>
      <c r="H50" s="129" t="s">
        <v>228</v>
      </c>
    </row>
    <row r="51">
      <c r="A51" s="111" t="s">
        <v>71</v>
      </c>
      <c r="B51" s="113">
        <v>27.0</v>
      </c>
      <c r="C51" s="113">
        <v>3.01</v>
      </c>
      <c r="D51" s="113">
        <v>1.46</v>
      </c>
      <c r="E51" s="113">
        <v>10.0</v>
      </c>
      <c r="F51" s="130" t="s">
        <v>229</v>
      </c>
      <c r="G51" s="98" t="s">
        <v>208</v>
      </c>
      <c r="H51" s="131" t="s">
        <v>230</v>
      </c>
    </row>
    <row r="53">
      <c r="A53" s="117" t="s">
        <v>231</v>
      </c>
      <c r="B53" s="118"/>
      <c r="C53" s="118"/>
      <c r="D53" s="118"/>
      <c r="E53" s="118"/>
      <c r="F53" s="118"/>
      <c r="G53" s="118"/>
      <c r="H53" s="118"/>
    </row>
    <row r="54">
      <c r="A54" s="132" t="s">
        <v>232</v>
      </c>
      <c r="B54" s="133" t="s">
        <v>233</v>
      </c>
      <c r="C54" s="134"/>
      <c r="D54" s="134"/>
      <c r="E54" s="134"/>
      <c r="F54" s="134"/>
      <c r="G54" s="134"/>
      <c r="H54" s="134"/>
    </row>
    <row r="55">
      <c r="A55" s="135" t="s">
        <v>234</v>
      </c>
      <c r="B55" s="136" t="s">
        <v>235</v>
      </c>
      <c r="C55" s="137"/>
      <c r="D55" s="137"/>
      <c r="E55" s="137"/>
      <c r="F55" s="137"/>
      <c r="G55" s="137"/>
      <c r="H55" s="137"/>
    </row>
    <row r="56">
      <c r="A56" s="135" t="s">
        <v>236</v>
      </c>
      <c r="B56" s="136" t="s">
        <v>237</v>
      </c>
      <c r="C56" s="137"/>
      <c r="D56" s="137"/>
      <c r="E56" s="137"/>
      <c r="F56" s="137"/>
      <c r="G56" s="137"/>
      <c r="H56" s="137"/>
    </row>
    <row r="57">
      <c r="A57" s="135" t="s">
        <v>238</v>
      </c>
      <c r="B57" s="136" t="s">
        <v>239</v>
      </c>
      <c r="C57" s="137"/>
      <c r="D57" s="137"/>
      <c r="E57" s="137"/>
      <c r="F57" s="137"/>
      <c r="G57" s="137"/>
      <c r="H57" s="137"/>
    </row>
    <row r="58">
      <c r="A58" s="135" t="s">
        <v>240</v>
      </c>
      <c r="B58" s="136" t="s">
        <v>241</v>
      </c>
      <c r="C58" s="137"/>
      <c r="D58" s="137"/>
      <c r="E58" s="137"/>
      <c r="F58" s="137"/>
      <c r="G58" s="137"/>
      <c r="H58" s="137"/>
    </row>
    <row r="59">
      <c r="A59" s="135" t="s">
        <v>242</v>
      </c>
      <c r="B59" s="136" t="s">
        <v>243</v>
      </c>
      <c r="C59" s="137"/>
      <c r="D59" s="137"/>
      <c r="E59" s="137"/>
      <c r="F59" s="137"/>
      <c r="G59" s="137"/>
      <c r="H59" s="1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4" max="4" width="21.13"/>
    <col customWidth="1" min="5" max="5" width="20.88"/>
    <col customWidth="1" min="6" max="6" width="18.5"/>
  </cols>
  <sheetData>
    <row r="1">
      <c r="A1" s="9"/>
      <c r="B1" s="9"/>
      <c r="C1" s="11"/>
      <c r="F1" s="138" t="s">
        <v>244</v>
      </c>
    </row>
    <row r="2">
      <c r="A2" s="9" t="s">
        <v>7</v>
      </c>
      <c r="B2" s="9" t="s">
        <v>121</v>
      </c>
      <c r="C2" s="11">
        <v>3.0</v>
      </c>
    </row>
    <row r="3">
      <c r="A3" s="139" t="s">
        <v>11</v>
      </c>
      <c r="B3" s="9" t="s">
        <v>12</v>
      </c>
      <c r="C3" s="11">
        <v>3.9375</v>
      </c>
      <c r="E3" s="140" t="s">
        <v>2</v>
      </c>
      <c r="F3" s="140" t="s">
        <v>123</v>
      </c>
    </row>
    <row r="4">
      <c r="A4" s="141" t="s">
        <v>9</v>
      </c>
      <c r="B4" s="141" t="s">
        <v>10</v>
      </c>
      <c r="C4" s="142">
        <v>3.75</v>
      </c>
      <c r="D4" s="138" t="s">
        <v>124</v>
      </c>
      <c r="E4" s="8">
        <v>2.7379032258064515</v>
      </c>
      <c r="F4" s="143">
        <v>0.5759207652295415</v>
      </c>
    </row>
    <row r="5">
      <c r="A5" s="141" t="s">
        <v>42</v>
      </c>
      <c r="B5" s="144" t="s">
        <v>10</v>
      </c>
      <c r="C5" s="142">
        <v>3.6875</v>
      </c>
      <c r="D5" s="138" t="s">
        <v>125</v>
      </c>
      <c r="E5" s="8">
        <v>2.654017857142857</v>
      </c>
      <c r="F5" s="143">
        <v>0.6420117829637442</v>
      </c>
    </row>
    <row r="6">
      <c r="A6" s="141" t="s">
        <v>26</v>
      </c>
      <c r="B6" s="141" t="s">
        <v>10</v>
      </c>
      <c r="C6" s="142">
        <v>3.5625</v>
      </c>
      <c r="D6" s="138" t="s">
        <v>126</v>
      </c>
      <c r="E6" s="8">
        <v>2.9791666666666665</v>
      </c>
      <c r="F6" s="143">
        <v>0.7072908996068498</v>
      </c>
    </row>
    <row r="7">
      <c r="A7" s="141" t="s">
        <v>29</v>
      </c>
      <c r="B7" s="144" t="s">
        <v>10</v>
      </c>
      <c r="C7" s="142">
        <v>3.46875</v>
      </c>
      <c r="D7" s="138" t="s">
        <v>127</v>
      </c>
      <c r="E7" s="8">
        <v>2.871875</v>
      </c>
      <c r="F7" s="143">
        <v>0.6071138604770389</v>
      </c>
    </row>
    <row r="8">
      <c r="A8" s="141" t="s">
        <v>21</v>
      </c>
      <c r="B8" s="144" t="s">
        <v>10</v>
      </c>
      <c r="C8" s="142">
        <v>3.46875</v>
      </c>
      <c r="D8" s="138" t="s">
        <v>128</v>
      </c>
      <c r="E8" s="8">
        <v>3.21875</v>
      </c>
      <c r="F8" s="143">
        <v>0.3928064090617667</v>
      </c>
    </row>
    <row r="9">
      <c r="A9" s="141" t="s">
        <v>16</v>
      </c>
      <c r="B9" s="144" t="s">
        <v>10</v>
      </c>
      <c r="C9" s="142">
        <v>3.4375</v>
      </c>
      <c r="D9" s="138" t="s">
        <v>129</v>
      </c>
      <c r="E9" s="8">
        <v>2.8348214285714284</v>
      </c>
      <c r="F9" s="143">
        <v>0.493352386617266</v>
      </c>
    </row>
    <row r="10">
      <c r="A10" s="141" t="s">
        <v>20</v>
      </c>
      <c r="B10" s="141" t="s">
        <v>10</v>
      </c>
      <c r="C10" s="142">
        <v>3.3125</v>
      </c>
    </row>
    <row r="11">
      <c r="A11" s="145" t="s">
        <v>25</v>
      </c>
      <c r="B11" s="145" t="s">
        <v>10</v>
      </c>
      <c r="C11" s="146">
        <v>3.28125</v>
      </c>
    </row>
    <row r="12">
      <c r="A12" s="141" t="s">
        <v>36</v>
      </c>
      <c r="B12" s="144" t="s">
        <v>10</v>
      </c>
      <c r="C12" s="142">
        <v>3.21875</v>
      </c>
    </row>
    <row r="13">
      <c r="A13" s="141" t="s">
        <v>39</v>
      </c>
      <c r="B13" s="144" t="s">
        <v>10</v>
      </c>
      <c r="C13" s="142">
        <v>3.1875</v>
      </c>
    </row>
    <row r="14">
      <c r="A14" s="141" t="s">
        <v>15</v>
      </c>
      <c r="B14" s="141" t="s">
        <v>10</v>
      </c>
      <c r="C14" s="142">
        <v>2.9375</v>
      </c>
    </row>
    <row r="15">
      <c r="A15" s="141" t="s">
        <v>31</v>
      </c>
      <c r="B15" s="141" t="s">
        <v>10</v>
      </c>
      <c r="C15" s="142">
        <v>2.90625</v>
      </c>
    </row>
    <row r="16">
      <c r="A16" s="141" t="s">
        <v>64</v>
      </c>
      <c r="B16" s="141" t="s">
        <v>10</v>
      </c>
      <c r="C16" s="142">
        <v>2.84375</v>
      </c>
    </row>
    <row r="17">
      <c r="A17" s="141" t="s">
        <v>19</v>
      </c>
      <c r="B17" s="144" t="s">
        <v>10</v>
      </c>
      <c r="C17" s="142">
        <v>2.75</v>
      </c>
    </row>
    <row r="18">
      <c r="A18" s="141" t="s">
        <v>43</v>
      </c>
      <c r="B18" s="141" t="s">
        <v>10</v>
      </c>
      <c r="C18" s="142">
        <v>2.71875</v>
      </c>
    </row>
    <row r="19">
      <c r="A19" s="141" t="s">
        <v>37</v>
      </c>
      <c r="B19" s="141" t="s">
        <v>10</v>
      </c>
      <c r="C19" s="142">
        <v>2.6875</v>
      </c>
    </row>
    <row r="20">
      <c r="A20" s="141" t="s">
        <v>56</v>
      </c>
      <c r="B20" s="141" t="s">
        <v>10</v>
      </c>
      <c r="C20" s="142">
        <v>2.625</v>
      </c>
    </row>
    <row r="21">
      <c r="A21" s="141" t="s">
        <v>14</v>
      </c>
      <c r="B21" s="144" t="s">
        <v>10</v>
      </c>
      <c r="C21" s="142">
        <v>2.5625</v>
      </c>
    </row>
    <row r="22">
      <c r="A22" s="141" t="s">
        <v>30</v>
      </c>
      <c r="B22" s="141" t="s">
        <v>10</v>
      </c>
      <c r="C22" s="142">
        <v>2.5</v>
      </c>
    </row>
    <row r="23">
      <c r="A23" s="141" t="s">
        <v>82</v>
      </c>
      <c r="B23" s="141" t="s">
        <v>10</v>
      </c>
      <c r="C23" s="142">
        <v>2.46875</v>
      </c>
    </row>
    <row r="24">
      <c r="A24" s="141" t="s">
        <v>46</v>
      </c>
      <c r="B24" s="144" t="s">
        <v>10</v>
      </c>
      <c r="C24" s="142">
        <v>2.40625</v>
      </c>
    </row>
    <row r="25">
      <c r="A25" s="141" t="s">
        <v>51</v>
      </c>
      <c r="B25" s="141" t="s">
        <v>10</v>
      </c>
      <c r="C25" s="142">
        <v>2.40625</v>
      </c>
    </row>
    <row r="26">
      <c r="A26" s="141" t="s">
        <v>24</v>
      </c>
      <c r="B26" s="144" t="s">
        <v>10</v>
      </c>
      <c r="C26" s="142">
        <v>2.28125</v>
      </c>
    </row>
    <row r="27">
      <c r="A27" s="141" t="s">
        <v>32</v>
      </c>
      <c r="B27" s="144" t="s">
        <v>10</v>
      </c>
      <c r="C27" s="142">
        <v>2.25</v>
      </c>
    </row>
    <row r="28">
      <c r="A28" s="141" t="s">
        <v>79</v>
      </c>
      <c r="B28" s="141" t="s">
        <v>10</v>
      </c>
      <c r="C28" s="142">
        <v>2.21875</v>
      </c>
    </row>
    <row r="29">
      <c r="A29" s="141" t="s">
        <v>76</v>
      </c>
      <c r="B29" s="141" t="s">
        <v>10</v>
      </c>
      <c r="C29" s="142">
        <v>2.15625</v>
      </c>
    </row>
    <row r="30">
      <c r="A30" s="141" t="s">
        <v>60</v>
      </c>
      <c r="B30" s="141" t="s">
        <v>10</v>
      </c>
      <c r="C30" s="142">
        <v>2.125</v>
      </c>
    </row>
    <row r="31">
      <c r="A31" s="145" t="s">
        <v>40</v>
      </c>
      <c r="B31" s="145" t="s">
        <v>10</v>
      </c>
      <c r="C31" s="146">
        <v>2.09375</v>
      </c>
    </row>
    <row r="32">
      <c r="A32" s="141" t="s">
        <v>33</v>
      </c>
      <c r="B32" s="141" t="s">
        <v>10</v>
      </c>
      <c r="C32" s="142">
        <v>2.0625</v>
      </c>
    </row>
    <row r="33">
      <c r="A33" s="141" t="s">
        <v>47</v>
      </c>
      <c r="B33" s="141" t="s">
        <v>10</v>
      </c>
      <c r="C33" s="142">
        <v>1.75</v>
      </c>
    </row>
    <row r="34">
      <c r="A34" s="141" t="s">
        <v>68</v>
      </c>
      <c r="B34" s="141" t="s">
        <v>10</v>
      </c>
      <c r="C34" s="142">
        <v>1.75</v>
      </c>
    </row>
    <row r="35">
      <c r="A35" s="147" t="s">
        <v>67</v>
      </c>
      <c r="B35" s="147" t="s">
        <v>35</v>
      </c>
      <c r="C35" s="148">
        <v>3.46875</v>
      </c>
    </row>
    <row r="36">
      <c r="A36" s="147" t="s">
        <v>72</v>
      </c>
      <c r="B36" s="147" t="s">
        <v>35</v>
      </c>
      <c r="C36" s="148">
        <v>3.1875</v>
      </c>
    </row>
    <row r="37">
      <c r="A37" s="147" t="s">
        <v>50</v>
      </c>
      <c r="B37" s="147" t="s">
        <v>35</v>
      </c>
      <c r="C37" s="148">
        <v>3.15625</v>
      </c>
    </row>
    <row r="38">
      <c r="A38" s="147" t="s">
        <v>78</v>
      </c>
      <c r="B38" s="147" t="s">
        <v>35</v>
      </c>
      <c r="C38" s="148">
        <v>3.125</v>
      </c>
    </row>
    <row r="39">
      <c r="A39" s="147" t="s">
        <v>75</v>
      </c>
      <c r="B39" s="147" t="s">
        <v>35</v>
      </c>
      <c r="C39" s="148">
        <v>3.0625</v>
      </c>
    </row>
    <row r="40">
      <c r="A40" s="147" t="s">
        <v>41</v>
      </c>
      <c r="B40" s="147" t="s">
        <v>35</v>
      </c>
      <c r="C40" s="148">
        <v>3.0625</v>
      </c>
    </row>
    <row r="41">
      <c r="A41" s="147" t="s">
        <v>63</v>
      </c>
      <c r="B41" s="147" t="s">
        <v>35</v>
      </c>
      <c r="C41" s="148">
        <v>3.03125</v>
      </c>
    </row>
    <row r="42">
      <c r="A42" s="147" t="s">
        <v>55</v>
      </c>
      <c r="B42" s="147" t="s">
        <v>35</v>
      </c>
      <c r="C42" s="148">
        <v>2.9375</v>
      </c>
    </row>
    <row r="43">
      <c r="A43" s="147" t="s">
        <v>38</v>
      </c>
      <c r="B43" s="147" t="s">
        <v>35</v>
      </c>
      <c r="C43" s="148">
        <v>2.5625</v>
      </c>
    </row>
    <row r="44">
      <c r="A44" s="147" t="s">
        <v>81</v>
      </c>
      <c r="B44" s="147" t="s">
        <v>35</v>
      </c>
      <c r="C44" s="148">
        <v>2.40625</v>
      </c>
    </row>
    <row r="45">
      <c r="A45" s="147" t="s">
        <v>59</v>
      </c>
      <c r="B45" s="147" t="s">
        <v>35</v>
      </c>
      <c r="C45" s="148">
        <v>2.25</v>
      </c>
    </row>
    <row r="46">
      <c r="A46" s="147" t="s">
        <v>34</v>
      </c>
      <c r="B46" s="147" t="s">
        <v>35</v>
      </c>
      <c r="C46" s="148">
        <v>1.78125</v>
      </c>
    </row>
    <row r="47">
      <c r="A47" s="147" t="s">
        <v>86</v>
      </c>
      <c r="B47" s="147" t="s">
        <v>35</v>
      </c>
      <c r="C47" s="148">
        <v>1.59375</v>
      </c>
    </row>
    <row r="48">
      <c r="A48" s="147" t="s">
        <v>90</v>
      </c>
      <c r="B48" s="147" t="s">
        <v>35</v>
      </c>
      <c r="C48" s="148">
        <v>1.53125</v>
      </c>
    </row>
    <row r="49">
      <c r="A49" s="9" t="s">
        <v>44</v>
      </c>
      <c r="B49" s="9" t="s">
        <v>45</v>
      </c>
      <c r="C49" s="11">
        <v>4.0</v>
      </c>
    </row>
    <row r="50">
      <c r="A50" s="149" t="s">
        <v>52</v>
      </c>
      <c r="B50" s="149" t="s">
        <v>49</v>
      </c>
      <c r="C50" s="150">
        <v>4.0625</v>
      </c>
    </row>
    <row r="51">
      <c r="A51" s="149" t="s">
        <v>65</v>
      </c>
      <c r="B51" s="151" t="s">
        <v>49</v>
      </c>
      <c r="C51" s="150">
        <v>3.4375</v>
      </c>
    </row>
    <row r="52">
      <c r="A52" s="149" t="s">
        <v>48</v>
      </c>
      <c r="B52" s="149" t="s">
        <v>49</v>
      </c>
      <c r="C52" s="150">
        <v>3.09375</v>
      </c>
    </row>
    <row r="53">
      <c r="A53" s="152" t="s">
        <v>61</v>
      </c>
      <c r="B53" s="153" t="s">
        <v>49</v>
      </c>
      <c r="C53" s="154">
        <v>2.78125</v>
      </c>
    </row>
    <row r="54">
      <c r="A54" s="149" t="s">
        <v>85</v>
      </c>
      <c r="B54" s="149" t="s">
        <v>49</v>
      </c>
      <c r="C54" s="150">
        <v>2.28125</v>
      </c>
    </row>
    <row r="55">
      <c r="A55" s="149" t="s">
        <v>57</v>
      </c>
      <c r="B55" s="149" t="s">
        <v>49</v>
      </c>
      <c r="C55" s="150">
        <v>2.21875</v>
      </c>
    </row>
    <row r="56">
      <c r="A56" s="155" t="s">
        <v>88</v>
      </c>
      <c r="B56" s="155" t="s">
        <v>89</v>
      </c>
      <c r="C56" s="156">
        <v>2.5625</v>
      </c>
    </row>
    <row r="57">
      <c r="A57" s="155" t="s">
        <v>93</v>
      </c>
      <c r="B57" s="155" t="s">
        <v>89</v>
      </c>
      <c r="C57" s="156">
        <v>2.25</v>
      </c>
      <c r="F57" s="157" t="s">
        <v>245</v>
      </c>
      <c r="G57" s="158"/>
      <c r="H57" s="158"/>
      <c r="I57" s="157">
        <v>1.0</v>
      </c>
      <c r="J57" s="158"/>
      <c r="K57" s="158"/>
    </row>
    <row r="58">
      <c r="A58" s="159" t="s">
        <v>74</v>
      </c>
      <c r="B58" s="159" t="s">
        <v>70</v>
      </c>
      <c r="C58" s="160">
        <v>3.9375</v>
      </c>
      <c r="F58" s="157" t="s">
        <v>129</v>
      </c>
      <c r="G58" s="158"/>
      <c r="H58" s="157">
        <v>4.0</v>
      </c>
      <c r="I58" s="157">
        <v>1.0</v>
      </c>
      <c r="J58" s="157">
        <v>1.0</v>
      </c>
      <c r="K58" s="157">
        <v>1.0</v>
      </c>
    </row>
    <row r="59">
      <c r="A59" s="159" t="s">
        <v>97</v>
      </c>
      <c r="B59" s="159" t="s">
        <v>70</v>
      </c>
      <c r="C59" s="160">
        <v>3.5625</v>
      </c>
      <c r="F59" s="161" t="s">
        <v>246</v>
      </c>
      <c r="G59" s="162"/>
      <c r="H59" s="162"/>
      <c r="I59" s="161">
        <v>1.0</v>
      </c>
      <c r="J59" s="161">
        <v>1.0</v>
      </c>
      <c r="K59" s="161"/>
    </row>
    <row r="60">
      <c r="A60" s="159" t="s">
        <v>105</v>
      </c>
      <c r="B60" s="159" t="s">
        <v>70</v>
      </c>
      <c r="C60" s="160">
        <v>3.28125</v>
      </c>
      <c r="F60" s="161" t="s">
        <v>109</v>
      </c>
      <c r="G60" s="162"/>
      <c r="H60" s="162"/>
      <c r="I60" s="161">
        <v>2.0</v>
      </c>
      <c r="J60" s="161">
        <v>1.0</v>
      </c>
      <c r="K60" s="161">
        <v>1.0</v>
      </c>
    </row>
    <row r="61">
      <c r="A61" s="159" t="s">
        <v>80</v>
      </c>
      <c r="B61" s="159" t="s">
        <v>70</v>
      </c>
      <c r="C61" s="160">
        <v>2.96875</v>
      </c>
      <c r="F61" s="161" t="s">
        <v>247</v>
      </c>
      <c r="G61" s="162"/>
      <c r="H61" s="162"/>
      <c r="I61" s="162"/>
      <c r="J61" s="162"/>
      <c r="K61" s="161">
        <v>1.0</v>
      </c>
    </row>
    <row r="62">
      <c r="A62" s="159" t="s">
        <v>102</v>
      </c>
      <c r="B62" s="159" t="s">
        <v>70</v>
      </c>
      <c r="C62" s="160">
        <v>2.875</v>
      </c>
      <c r="F62" s="161" t="s">
        <v>248</v>
      </c>
      <c r="G62" s="162"/>
      <c r="H62" s="162"/>
      <c r="I62" s="162"/>
      <c r="J62" s="162"/>
      <c r="K62" s="161">
        <v>1.0</v>
      </c>
    </row>
    <row r="63">
      <c r="A63" s="159" t="s">
        <v>94</v>
      </c>
      <c r="B63" s="159" t="s">
        <v>70</v>
      </c>
      <c r="C63" s="160">
        <v>2.8125</v>
      </c>
      <c r="F63" s="161" t="s">
        <v>121</v>
      </c>
      <c r="G63" s="162"/>
      <c r="H63" s="162"/>
      <c r="I63" s="161">
        <v>1.0</v>
      </c>
      <c r="J63" s="162"/>
      <c r="K63" s="162"/>
    </row>
    <row r="64">
      <c r="A64" s="159" t="s">
        <v>101</v>
      </c>
      <c r="B64" s="159" t="s">
        <v>70</v>
      </c>
      <c r="C64" s="160">
        <v>2.71875</v>
      </c>
      <c r="F64" s="161" t="s">
        <v>89</v>
      </c>
      <c r="G64" s="162"/>
      <c r="H64" s="161">
        <v>1.0</v>
      </c>
      <c r="I64" s="161">
        <v>1.0</v>
      </c>
      <c r="J64" s="162"/>
      <c r="K64" s="162"/>
    </row>
    <row r="65">
      <c r="A65" s="159" t="s">
        <v>77</v>
      </c>
      <c r="B65" s="159" t="s">
        <v>70</v>
      </c>
      <c r="C65" s="160">
        <v>2.40625</v>
      </c>
      <c r="F65" s="161" t="s">
        <v>10</v>
      </c>
      <c r="G65" s="161">
        <v>2.0</v>
      </c>
      <c r="H65" s="161">
        <v>11.0</v>
      </c>
      <c r="I65" s="161">
        <v>8.0</v>
      </c>
      <c r="J65" s="161">
        <v>7.0</v>
      </c>
      <c r="K65" s="161">
        <v>3.0</v>
      </c>
    </row>
    <row r="66">
      <c r="A66" s="159" t="s">
        <v>98</v>
      </c>
      <c r="B66" s="159" t="s">
        <v>70</v>
      </c>
      <c r="C66" s="160">
        <v>2.1875</v>
      </c>
      <c r="F66" s="161" t="s">
        <v>49</v>
      </c>
      <c r="G66" s="162"/>
      <c r="H66" s="161">
        <v>2.0</v>
      </c>
      <c r="I66" s="161">
        <v>1.0</v>
      </c>
      <c r="J66" s="161">
        <v>2.0</v>
      </c>
      <c r="K66" s="161">
        <v>1.0</v>
      </c>
    </row>
    <row r="67">
      <c r="A67" s="159" t="s">
        <v>69</v>
      </c>
      <c r="B67" s="159" t="s">
        <v>70</v>
      </c>
      <c r="C67" s="160">
        <v>1.96875</v>
      </c>
      <c r="F67" s="161" t="s">
        <v>70</v>
      </c>
      <c r="G67" s="161">
        <v>1.0</v>
      </c>
      <c r="H67" s="161">
        <v>2.0</v>
      </c>
      <c r="I67" s="161">
        <v>4.0</v>
      </c>
      <c r="J67" s="161">
        <v>1.0</v>
      </c>
      <c r="K67" s="161">
        <v>1.0</v>
      </c>
    </row>
    <row r="68">
      <c r="A68" s="13" t="s">
        <v>112</v>
      </c>
      <c r="B68" s="13" t="s">
        <v>109</v>
      </c>
      <c r="C68" s="163">
        <v>3.1875</v>
      </c>
      <c r="F68" s="161" t="s">
        <v>125</v>
      </c>
      <c r="G68" s="161">
        <v>3.0</v>
      </c>
      <c r="H68" s="161">
        <v>2.0</v>
      </c>
      <c r="I68" s="161">
        <v>2.0</v>
      </c>
      <c r="J68" s="161">
        <v>7.0</v>
      </c>
      <c r="K68" s="162"/>
    </row>
    <row r="69">
      <c r="A69" s="13" t="s">
        <v>108</v>
      </c>
      <c r="B69" s="13" t="s">
        <v>109</v>
      </c>
      <c r="C69" s="163">
        <v>2.90625</v>
      </c>
      <c r="F69" s="164" t="s">
        <v>249</v>
      </c>
      <c r="G69" s="164" t="s">
        <v>250</v>
      </c>
      <c r="H69" s="164" t="s">
        <v>251</v>
      </c>
      <c r="I69" s="164" t="s">
        <v>252</v>
      </c>
      <c r="J69" s="164" t="s">
        <v>253</v>
      </c>
      <c r="K69" s="164" t="s">
        <v>254</v>
      </c>
    </row>
    <row r="70">
      <c r="A70" s="13" t="s">
        <v>87</v>
      </c>
      <c r="B70" s="13" t="s">
        <v>84</v>
      </c>
      <c r="C70" s="163">
        <v>3.78125</v>
      </c>
      <c r="F70" s="138" t="s">
        <v>255</v>
      </c>
      <c r="G70" s="143">
        <f t="shared" ref="G70:I70" si="1">SUM(G57:G68)</f>
        <v>6</v>
      </c>
      <c r="H70" s="143">
        <f t="shared" si="1"/>
        <v>22</v>
      </c>
      <c r="I70" s="143">
        <f t="shared" si="1"/>
        <v>22</v>
      </c>
      <c r="J70" s="143">
        <f>SUM(J58:J68)</f>
        <v>20</v>
      </c>
      <c r="K70" s="143">
        <f>SUM(K57:K68)</f>
        <v>9</v>
      </c>
      <c r="L70" s="138" t="s">
        <v>256</v>
      </c>
    </row>
    <row r="71">
      <c r="A71" s="13" t="s">
        <v>83</v>
      </c>
      <c r="B71" s="13" t="s">
        <v>84</v>
      </c>
      <c r="C71" s="163">
        <v>3.0</v>
      </c>
    </row>
    <row r="72">
      <c r="A72" s="12" t="s">
        <v>91</v>
      </c>
      <c r="B72" s="24" t="s">
        <v>92</v>
      </c>
      <c r="C72" s="11">
        <v>3.0625</v>
      </c>
    </row>
    <row r="73">
      <c r="A73" s="12" t="s">
        <v>95</v>
      </c>
      <c r="B73" s="24" t="s">
        <v>96</v>
      </c>
      <c r="C73" s="11">
        <v>2.9375</v>
      </c>
    </row>
    <row r="74">
      <c r="A74" s="165" t="s">
        <v>107</v>
      </c>
      <c r="B74" s="165" t="s">
        <v>100</v>
      </c>
      <c r="C74" s="166">
        <v>3.6875</v>
      </c>
    </row>
    <row r="75">
      <c r="A75" s="167" t="s">
        <v>111</v>
      </c>
      <c r="B75" s="167" t="s">
        <v>100</v>
      </c>
      <c r="C75" s="168">
        <v>3.28125</v>
      </c>
    </row>
    <row r="76">
      <c r="A76" s="165" t="s">
        <v>103</v>
      </c>
      <c r="B76" s="165" t="s">
        <v>100</v>
      </c>
      <c r="C76" s="166">
        <v>2.96875</v>
      </c>
    </row>
    <row r="77">
      <c r="A77" s="165" t="s">
        <v>104</v>
      </c>
      <c r="B77" s="165" t="s">
        <v>100</v>
      </c>
      <c r="C77" s="166">
        <v>2.5</v>
      </c>
    </row>
    <row r="78">
      <c r="A78" s="165" t="s">
        <v>99</v>
      </c>
      <c r="B78" s="165" t="s">
        <v>100</v>
      </c>
      <c r="C78" s="166">
        <v>2.5</v>
      </c>
    </row>
    <row r="79">
      <c r="A79" s="165" t="s">
        <v>110</v>
      </c>
      <c r="B79" s="165" t="s">
        <v>100</v>
      </c>
      <c r="C79" s="166">
        <v>2.46875</v>
      </c>
    </row>
    <row r="80">
      <c r="A80" s="165" t="s">
        <v>106</v>
      </c>
      <c r="B80" s="165" t="s">
        <v>100</v>
      </c>
      <c r="C80" s="166">
        <v>2.4375</v>
      </c>
    </row>
    <row r="81">
      <c r="A81" s="9" t="s">
        <v>113</v>
      </c>
      <c r="B81" s="9" t="s">
        <v>114</v>
      </c>
      <c r="C81" s="11">
        <v>2.625</v>
      </c>
    </row>
    <row r="82">
      <c r="A82" s="169" t="s">
        <v>257</v>
      </c>
      <c r="C82" s="170">
        <v>0.10902777777777778</v>
      </c>
    </row>
    <row r="83">
      <c r="A83" s="169" t="s">
        <v>258</v>
      </c>
      <c r="C83" s="170">
        <v>0.10902777777777778</v>
      </c>
    </row>
    <row r="84">
      <c r="A84" s="169" t="s">
        <v>259</v>
      </c>
      <c r="C84" s="170">
        <v>0.10694444444444444</v>
      </c>
    </row>
    <row r="85">
      <c r="A85" s="171" t="s">
        <v>260</v>
      </c>
      <c r="C85" s="170">
        <v>0.10694444444444444</v>
      </c>
    </row>
    <row r="86">
      <c r="A86" s="169" t="s">
        <v>261</v>
      </c>
      <c r="C86" s="170">
        <v>0.10486111111111111</v>
      </c>
    </row>
    <row r="87">
      <c r="A87" s="171" t="s">
        <v>262</v>
      </c>
      <c r="C87" s="170">
        <v>0.10486111111111111</v>
      </c>
    </row>
    <row r="88">
      <c r="A88" s="169" t="s">
        <v>263</v>
      </c>
      <c r="C88" s="170">
        <v>0.10277777777777777</v>
      </c>
    </row>
    <row r="89">
      <c r="A89" s="171" t="s">
        <v>264</v>
      </c>
      <c r="C89" s="170">
        <v>0.10277777777777777</v>
      </c>
    </row>
    <row r="90">
      <c r="A90" s="171" t="s">
        <v>265</v>
      </c>
      <c r="C90" s="170">
        <v>0.1</v>
      </c>
    </row>
    <row r="91">
      <c r="A91" s="169" t="s">
        <v>266</v>
      </c>
      <c r="C91" s="170">
        <v>0.09791666666666667</v>
      </c>
    </row>
    <row r="92">
      <c r="A92" s="169" t="s">
        <v>267</v>
      </c>
      <c r="C92" s="170">
        <v>0.09375</v>
      </c>
    </row>
    <row r="93">
      <c r="A93" s="169" t="s">
        <v>268</v>
      </c>
      <c r="C93" s="170">
        <v>0.09375</v>
      </c>
    </row>
    <row r="94">
      <c r="A94" s="169" t="s">
        <v>269</v>
      </c>
      <c r="C94" s="170">
        <v>0.09375</v>
      </c>
    </row>
    <row r="95">
      <c r="A95" s="169" t="s">
        <v>270</v>
      </c>
      <c r="C95" s="170">
        <v>0.09375</v>
      </c>
    </row>
    <row r="96">
      <c r="A96" s="171" t="s">
        <v>271</v>
      </c>
      <c r="C96" s="170">
        <v>0.09375</v>
      </c>
    </row>
    <row r="97">
      <c r="A97" s="169" t="s">
        <v>272</v>
      </c>
      <c r="C97" s="170">
        <v>0.09236111111111112</v>
      </c>
    </row>
    <row r="98">
      <c r="A98" s="169" t="s">
        <v>273</v>
      </c>
      <c r="C98" s="170">
        <v>0.09166666666666666</v>
      </c>
    </row>
    <row r="99">
      <c r="A99" s="171" t="s">
        <v>274</v>
      </c>
      <c r="C99" s="170">
        <v>0.09166666666666666</v>
      </c>
    </row>
    <row r="100">
      <c r="A100" s="171" t="s">
        <v>275</v>
      </c>
      <c r="C100" s="170">
        <v>0.09166666666666666</v>
      </c>
    </row>
    <row r="101">
      <c r="A101" s="169" t="s">
        <v>276</v>
      </c>
      <c r="C101" s="170">
        <v>0.08958333333333333</v>
      </c>
    </row>
    <row r="102">
      <c r="A102" s="169" t="s">
        <v>277</v>
      </c>
      <c r="C102" s="170">
        <v>0.0875</v>
      </c>
    </row>
    <row r="103">
      <c r="A103" s="169" t="s">
        <v>278</v>
      </c>
      <c r="C103" s="170">
        <v>0.08541666666666667</v>
      </c>
    </row>
    <row r="104">
      <c r="A104" s="169" t="s">
        <v>279</v>
      </c>
      <c r="C104" s="170">
        <v>0.08541666666666667</v>
      </c>
    </row>
    <row r="105">
      <c r="A105" s="169" t="s">
        <v>280</v>
      </c>
      <c r="C105" s="170">
        <v>0.08333333333333333</v>
      </c>
    </row>
    <row r="106">
      <c r="A106" s="171" t="s">
        <v>281</v>
      </c>
      <c r="C106" s="170">
        <v>0.08055555555555556</v>
      </c>
    </row>
    <row r="107">
      <c r="A107" s="169" t="s">
        <v>282</v>
      </c>
      <c r="C107" s="170">
        <v>0.0763888888888889</v>
      </c>
    </row>
    <row r="108">
      <c r="A108" s="169" t="s">
        <v>283</v>
      </c>
      <c r="C108" s="170">
        <v>0.0763888888888889</v>
      </c>
    </row>
  </sheetData>
  <autoFilter ref="$A$1:$C$108">
    <sortState ref="A1:C108">
      <sortCondition ref="B1:B108"/>
      <sortCondition descending="1" ref="C1:C108"/>
    </sortState>
  </autoFilter>
  <drawing r:id="rId1"/>
</worksheet>
</file>